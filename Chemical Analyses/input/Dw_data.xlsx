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X:\DATA FOR R\Nikolaj and Rujia experiment\"/>
    </mc:Choice>
  </mc:AlternateContent>
  <xr:revisionPtr revIDLastSave="0" documentId="13_ncr:1_{0A80D6C2-D6AD-4B95-9184-D54DCA6800B2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3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2" i="1"/>
  <c r="M13" i="1" l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9" i="1"/>
  <c r="M10" i="1"/>
  <c r="M11" i="1"/>
  <c r="M12" i="1"/>
  <c r="M3" i="1"/>
  <c r="M4" i="1"/>
  <c r="M5" i="1"/>
  <c r="M6" i="1"/>
  <c r="M7" i="1"/>
  <c r="M8" i="1"/>
  <c r="M2" i="1"/>
</calcChain>
</file>

<file path=xl/sharedStrings.xml><?xml version="1.0" encoding="utf-8"?>
<sst xmlns="http://schemas.openxmlformats.org/spreadsheetml/2006/main" count="418" uniqueCount="47">
  <si>
    <t>Cultivar</t>
  </si>
  <si>
    <t>a</t>
  </si>
  <si>
    <t>Babushka</t>
  </si>
  <si>
    <t>b</t>
  </si>
  <si>
    <t>c</t>
  </si>
  <si>
    <t>d</t>
  </si>
  <si>
    <t>f</t>
  </si>
  <si>
    <t>BAF-no</t>
  </si>
  <si>
    <t>RGT</t>
  </si>
  <si>
    <t>RAF-no</t>
  </si>
  <si>
    <t>Treatment</t>
  </si>
  <si>
    <t>BNC10-1</t>
  </si>
  <si>
    <t>BNC10-3</t>
  </si>
  <si>
    <t>BNC10-5</t>
  </si>
  <si>
    <t>BNC10-7</t>
  </si>
  <si>
    <t>BNC-no</t>
  </si>
  <si>
    <t>BAF10-1</t>
  </si>
  <si>
    <t>BAF10-3</t>
  </si>
  <si>
    <t>BAF10-5</t>
  </si>
  <si>
    <t>BAF10-7</t>
  </si>
  <si>
    <t>RNC10-1</t>
  </si>
  <si>
    <t>RNC10-3</t>
  </si>
  <si>
    <t>RNC10-5</t>
  </si>
  <si>
    <t>RNC10-7</t>
  </si>
  <si>
    <t>RNC-no</t>
  </si>
  <si>
    <t>RAF10-1</t>
  </si>
  <si>
    <t>RAF10-3</t>
  </si>
  <si>
    <t>RAF10-5</t>
  </si>
  <si>
    <t>RAF10-7</t>
  </si>
  <si>
    <t>DW_mg</t>
  </si>
  <si>
    <t>Sample_ID</t>
  </si>
  <si>
    <t>Chitin</t>
  </si>
  <si>
    <t>Fertilizer</t>
  </si>
  <si>
    <t>Mineral</t>
  </si>
  <si>
    <t>Microbiome</t>
  </si>
  <si>
    <t>Dilution</t>
  </si>
  <si>
    <t xml:space="preserve">Log10_Dilution </t>
  </si>
  <si>
    <t>Shoot_corr_mg</t>
  </si>
  <si>
    <t>sample ID</t>
  </si>
  <si>
    <t>Log_Shoot_corr</t>
  </si>
  <si>
    <t>N_shoot</t>
  </si>
  <si>
    <t>Total_N_Shoot</t>
  </si>
  <si>
    <t>Shoot_ww_g</t>
  </si>
  <si>
    <t>Root_ww_g</t>
  </si>
  <si>
    <t>pH</t>
  </si>
  <si>
    <t>new_microbiome</t>
  </si>
  <si>
    <t>Mic_fraction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</si>
</sst>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1"/>
  <sheetViews>
    <sheetView tabSelected="1" topLeftCell="A69" workbookViewId="0">
      <selection activeCell="H77" sqref="H77:H101"/>
    </sheetView>
  </sheetViews>
  <sheetFormatPr defaultRowHeight="14.4" x14ac:dyDescent="0.55000000000000004"/>
  <cols>
    <col min="4" max="4" width="10.3671875" bestFit="1" customWidth="1"/>
    <col min="5" max="5" width="11.68359375" bestFit="1" customWidth="1"/>
    <col min="6" max="6" width="13.05078125" bestFit="1" customWidth="1"/>
    <col min="7" max="7" width="14.578125" bestFit="1" customWidth="1"/>
    <col min="8" max="8" width="14.578125" customWidth="1"/>
    <col min="15" max="15" width="12.62890625" bestFit="1" customWidth="1"/>
    <col min="16" max="16" width="10.83984375" bestFit="1" customWidth="1"/>
    <col min="17" max="17" width="10" bestFit="1" customWidth="1"/>
  </cols>
  <sheetData>
    <row r="1" spans="1:18" x14ac:dyDescent="0.55000000000000004">
      <c r="A1" t="s">
        <v>30</v>
      </c>
      <c r="B1" t="s">
        <v>10</v>
      </c>
      <c r="C1" t="s">
        <v>32</v>
      </c>
      <c r="D1" t="s">
        <v>34</v>
      </c>
      <c r="E1" t="s">
        <v>35</v>
      </c>
      <c r="F1" t="s">
        <v>36</v>
      </c>
      <c r="G1" t="s">
        <v>45</v>
      </c>
      <c r="H1" t="s">
        <v>46</v>
      </c>
      <c r="I1" t="s">
        <v>0</v>
      </c>
      <c r="J1" t="s">
        <v>29</v>
      </c>
      <c r="K1" t="s">
        <v>38</v>
      </c>
      <c r="L1" t="s">
        <v>37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</row>
    <row r="2" spans="1:18" x14ac:dyDescent="0.55000000000000004">
      <c r="A2">
        <v>81</v>
      </c>
      <c r="B2" t="s">
        <v>11</v>
      </c>
      <c r="C2" t="s">
        <v>31</v>
      </c>
      <c r="D2" t="s">
        <v>1</v>
      </c>
      <c r="E2">
        <v>10</v>
      </c>
      <c r="F2">
        <v>1</v>
      </c>
      <c r="G2">
        <v>1</v>
      </c>
      <c r="H2">
        <v>0.1</v>
      </c>
      <c r="I2" t="s">
        <v>2</v>
      </c>
      <c r="J2">
        <v>77.100000000000009</v>
      </c>
      <c r="K2">
        <v>81</v>
      </c>
      <c r="L2">
        <v>91.545650869826034</v>
      </c>
      <c r="M2">
        <f>LOG(L2)</f>
        <v>1.961637716763315</v>
      </c>
      <c r="N2">
        <v>2.8234335970444904</v>
      </c>
      <c r="O2">
        <f>L2*(N2/100)</f>
        <v>2.5847306632917202</v>
      </c>
      <c r="P2">
        <v>0.59379999999999999</v>
      </c>
      <c r="Q2">
        <v>3.1366000000000001</v>
      </c>
      <c r="R2">
        <v>6.38</v>
      </c>
    </row>
    <row r="3" spans="1:18" x14ac:dyDescent="0.55000000000000004">
      <c r="A3">
        <v>82</v>
      </c>
      <c r="B3" t="s">
        <v>11</v>
      </c>
      <c r="C3" t="s">
        <v>31</v>
      </c>
      <c r="D3" t="s">
        <v>1</v>
      </c>
      <c r="E3">
        <v>10</v>
      </c>
      <c r="F3">
        <v>1</v>
      </c>
      <c r="G3">
        <v>1</v>
      </c>
      <c r="H3">
        <v>0.1</v>
      </c>
      <c r="I3" t="s">
        <v>2</v>
      </c>
      <c r="J3">
        <v>91.2</v>
      </c>
      <c r="K3">
        <v>82</v>
      </c>
      <c r="L3">
        <v>106.65111260957519</v>
      </c>
      <c r="M3">
        <f t="shared" ref="M3:M66" si="0">LOG(L3)</f>
        <v>2.027965390471604</v>
      </c>
      <c r="N3">
        <v>3.939683803142195</v>
      </c>
      <c r="O3">
        <f t="shared" ref="O3:O66" si="1">L3*(N3/100)</f>
        <v>4.2017166093503775</v>
      </c>
      <c r="P3">
        <v>0.69369999999999998</v>
      </c>
      <c r="Q3">
        <v>3.2978999999999998</v>
      </c>
      <c r="R3">
        <v>6.33</v>
      </c>
    </row>
    <row r="4" spans="1:18" x14ac:dyDescent="0.55000000000000004">
      <c r="A4">
        <v>83</v>
      </c>
      <c r="B4" t="s">
        <v>11</v>
      </c>
      <c r="C4" t="s">
        <v>31</v>
      </c>
      <c r="D4" t="s">
        <v>1</v>
      </c>
      <c r="E4">
        <v>10</v>
      </c>
      <c r="F4">
        <v>1</v>
      </c>
      <c r="G4">
        <v>1</v>
      </c>
      <c r="H4">
        <v>0.1</v>
      </c>
      <c r="I4" t="s">
        <v>2</v>
      </c>
      <c r="J4">
        <v>87.6</v>
      </c>
      <c r="K4">
        <v>83</v>
      </c>
      <c r="L4">
        <v>106.95743725770249</v>
      </c>
      <c r="M4">
        <f t="shared" si="0"/>
        <v>2.0292109885118559</v>
      </c>
      <c r="N4">
        <v>3.4941403761030756</v>
      </c>
      <c r="O4">
        <f t="shared" si="1"/>
        <v>3.7372430004664969</v>
      </c>
      <c r="P4">
        <v>0.59840000000000004</v>
      </c>
      <c r="Q4">
        <v>2.3645999999999998</v>
      </c>
      <c r="R4">
        <v>6.36</v>
      </c>
    </row>
    <row r="5" spans="1:18" x14ac:dyDescent="0.55000000000000004">
      <c r="A5">
        <v>84</v>
      </c>
      <c r="B5" t="s">
        <v>11</v>
      </c>
      <c r="C5" t="s">
        <v>31</v>
      </c>
      <c r="D5" t="s">
        <v>1</v>
      </c>
      <c r="E5">
        <v>10</v>
      </c>
      <c r="F5">
        <v>1</v>
      </c>
      <c r="G5">
        <v>1</v>
      </c>
      <c r="H5">
        <v>0.1</v>
      </c>
      <c r="I5" t="s">
        <v>2</v>
      </c>
      <c r="J5">
        <v>73</v>
      </c>
      <c r="K5">
        <v>84</v>
      </c>
      <c r="L5">
        <v>88.642857142857139</v>
      </c>
      <c r="M5">
        <f t="shared" si="0"/>
        <v>1.9476437458204918</v>
      </c>
      <c r="N5">
        <v>2.8652887924567834</v>
      </c>
      <c r="O5">
        <f t="shared" si="1"/>
        <v>2.539873851027763</v>
      </c>
      <c r="P5">
        <v>0.60009999999999997</v>
      </c>
      <c r="Q5">
        <v>2.5796000000000001</v>
      </c>
      <c r="R5">
        <v>6.21</v>
      </c>
    </row>
    <row r="6" spans="1:18" x14ac:dyDescent="0.55000000000000004">
      <c r="A6">
        <v>85</v>
      </c>
      <c r="B6" t="s">
        <v>11</v>
      </c>
      <c r="C6" t="s">
        <v>31</v>
      </c>
      <c r="D6" t="s">
        <v>1</v>
      </c>
      <c r="E6">
        <v>10</v>
      </c>
      <c r="F6">
        <v>1</v>
      </c>
      <c r="G6">
        <v>1</v>
      </c>
      <c r="H6">
        <v>0.1</v>
      </c>
      <c r="I6" t="s">
        <v>2</v>
      </c>
      <c r="J6">
        <v>68.400000000000006</v>
      </c>
      <c r="K6">
        <v>85</v>
      </c>
      <c r="L6">
        <v>81.015164835164839</v>
      </c>
      <c r="M6">
        <f t="shared" si="0"/>
        <v>1.9085663199624958</v>
      </c>
      <c r="N6">
        <v>2.479194564845109</v>
      </c>
      <c r="O6">
        <f t="shared" si="1"/>
        <v>2.0085235632937128</v>
      </c>
      <c r="P6">
        <v>0.64670000000000005</v>
      </c>
      <c r="Q6">
        <v>2.6743000000000001</v>
      </c>
      <c r="R6">
        <v>6.25</v>
      </c>
    </row>
    <row r="7" spans="1:18" x14ac:dyDescent="0.55000000000000004">
      <c r="A7">
        <v>86</v>
      </c>
      <c r="B7" t="s">
        <v>12</v>
      </c>
      <c r="C7" t="s">
        <v>31</v>
      </c>
      <c r="D7" t="s">
        <v>3</v>
      </c>
      <c r="E7">
        <v>1000</v>
      </c>
      <c r="F7">
        <v>3</v>
      </c>
      <c r="G7">
        <v>3</v>
      </c>
      <c r="H7">
        <v>1E-3</v>
      </c>
      <c r="I7" t="s">
        <v>2</v>
      </c>
      <c r="J7">
        <v>42.4</v>
      </c>
      <c r="K7">
        <v>86</v>
      </c>
      <c r="L7">
        <v>57.036400268636662</v>
      </c>
      <c r="M7">
        <f t="shared" si="0"/>
        <v>1.7561521081341327</v>
      </c>
      <c r="N7">
        <v>2.2458713540189379</v>
      </c>
      <c r="O7">
        <f t="shared" si="1"/>
        <v>1.2809641749968912</v>
      </c>
      <c r="P7">
        <v>0.40060000000000001</v>
      </c>
      <c r="Q7">
        <v>2.0388999999999999</v>
      </c>
      <c r="R7">
        <v>6</v>
      </c>
    </row>
    <row r="8" spans="1:18" x14ac:dyDescent="0.55000000000000004">
      <c r="A8">
        <v>87</v>
      </c>
      <c r="B8" t="s">
        <v>12</v>
      </c>
      <c r="C8" t="s">
        <v>31</v>
      </c>
      <c r="D8" t="s">
        <v>3</v>
      </c>
      <c r="E8">
        <v>1000</v>
      </c>
      <c r="F8">
        <v>3</v>
      </c>
      <c r="G8">
        <v>3</v>
      </c>
      <c r="H8">
        <v>1E-3</v>
      </c>
      <c r="I8" t="s">
        <v>2</v>
      </c>
      <c r="J8">
        <v>60.199999999999996</v>
      </c>
      <c r="K8">
        <v>87</v>
      </c>
      <c r="L8">
        <v>76.223688232297505</v>
      </c>
      <c r="M8">
        <f t="shared" si="0"/>
        <v>1.8820899591328364</v>
      </c>
      <c r="N8">
        <v>2.2820979245146673</v>
      </c>
      <c r="O8">
        <f t="shared" si="1"/>
        <v>1.7394992071377919</v>
      </c>
      <c r="P8">
        <v>0.49709999999999999</v>
      </c>
      <c r="Q8">
        <v>1.7125999999999999</v>
      </c>
      <c r="R8">
        <v>5.83</v>
      </c>
    </row>
    <row r="9" spans="1:18" x14ac:dyDescent="0.55000000000000004">
      <c r="A9">
        <v>88</v>
      </c>
      <c r="B9" t="s">
        <v>12</v>
      </c>
      <c r="C9" t="s">
        <v>31</v>
      </c>
      <c r="D9" t="s">
        <v>3</v>
      </c>
      <c r="E9">
        <v>1000</v>
      </c>
      <c r="F9">
        <v>3</v>
      </c>
      <c r="G9">
        <v>3</v>
      </c>
      <c r="H9">
        <v>1E-3</v>
      </c>
      <c r="I9" t="s">
        <v>2</v>
      </c>
      <c r="J9">
        <v>50.1</v>
      </c>
      <c r="K9">
        <v>88</v>
      </c>
      <c r="L9">
        <v>62.989805825242719</v>
      </c>
      <c r="M9">
        <f>LOG(L9)</f>
        <v>1.7992702695793441</v>
      </c>
      <c r="N9">
        <v>3.6019113524792847</v>
      </c>
      <c r="O9">
        <f t="shared" si="1"/>
        <v>2.2688369669240753</v>
      </c>
      <c r="P9">
        <v>0.4662</v>
      </c>
      <c r="Q9">
        <v>1.5685</v>
      </c>
      <c r="R9">
        <v>5.93</v>
      </c>
    </row>
    <row r="10" spans="1:18" x14ac:dyDescent="0.55000000000000004">
      <c r="A10">
        <v>89</v>
      </c>
      <c r="B10" t="s">
        <v>12</v>
      </c>
      <c r="C10" t="s">
        <v>31</v>
      </c>
      <c r="D10" t="s">
        <v>3</v>
      </c>
      <c r="E10">
        <v>1000</v>
      </c>
      <c r="F10">
        <v>3</v>
      </c>
      <c r="G10">
        <v>3</v>
      </c>
      <c r="H10">
        <v>1E-3</v>
      </c>
      <c r="I10" t="s">
        <v>2</v>
      </c>
      <c r="J10">
        <v>12.3</v>
      </c>
      <c r="K10">
        <v>89</v>
      </c>
      <c r="L10">
        <v>20.686363636363634</v>
      </c>
      <c r="M10">
        <f t="shared" si="0"/>
        <v>1.3156841546841866</v>
      </c>
      <c r="N10">
        <v>4.0122555140041607</v>
      </c>
      <c r="O10">
        <f t="shared" si="1"/>
        <v>0.82998976564695148</v>
      </c>
      <c r="P10">
        <v>0.1258</v>
      </c>
      <c r="Q10">
        <v>8.6199999999999999E-2</v>
      </c>
      <c r="R10">
        <v>6.26</v>
      </c>
    </row>
    <row r="11" spans="1:18" x14ac:dyDescent="0.55000000000000004">
      <c r="A11">
        <v>90</v>
      </c>
      <c r="B11" t="s">
        <v>12</v>
      </c>
      <c r="C11" t="s">
        <v>31</v>
      </c>
      <c r="D11" t="s">
        <v>3</v>
      </c>
      <c r="E11">
        <v>1000</v>
      </c>
      <c r="F11">
        <v>3</v>
      </c>
      <c r="G11">
        <v>3</v>
      </c>
      <c r="H11">
        <v>1E-3</v>
      </c>
      <c r="I11" t="s">
        <v>2</v>
      </c>
      <c r="J11">
        <v>38.299999999999997</v>
      </c>
      <c r="K11">
        <v>90</v>
      </c>
      <c r="L11">
        <v>53.927122641509435</v>
      </c>
      <c r="M11">
        <f t="shared" si="0"/>
        <v>1.7318072485052591</v>
      </c>
      <c r="N11">
        <v>2.3347981155581099</v>
      </c>
      <c r="O11">
        <f t="shared" si="1"/>
        <v>1.2590894432086732</v>
      </c>
      <c r="P11">
        <v>0.35820000000000002</v>
      </c>
      <c r="Q11">
        <v>1.2074</v>
      </c>
      <c r="R11">
        <v>5.99</v>
      </c>
    </row>
    <row r="12" spans="1:18" x14ac:dyDescent="0.55000000000000004">
      <c r="A12">
        <v>91</v>
      </c>
      <c r="B12" t="s">
        <v>13</v>
      </c>
      <c r="C12" t="s">
        <v>31</v>
      </c>
      <c r="D12" t="s">
        <v>4</v>
      </c>
      <c r="E12">
        <v>100000</v>
      </c>
      <c r="F12">
        <v>5</v>
      </c>
      <c r="G12">
        <v>5</v>
      </c>
      <c r="H12">
        <v>1.0000000000000001E-5</v>
      </c>
      <c r="I12" t="s">
        <v>2</v>
      </c>
      <c r="J12">
        <v>22.599999999999998</v>
      </c>
      <c r="K12">
        <v>91</v>
      </c>
      <c r="L12">
        <v>31.148027210884354</v>
      </c>
      <c r="M12">
        <f t="shared" si="0"/>
        <v>1.4934305454234864</v>
      </c>
      <c r="N12">
        <v>6.7524784205283757</v>
      </c>
      <c r="O12">
        <f t="shared" si="1"/>
        <v>2.1032638158352723</v>
      </c>
      <c r="P12">
        <v>0.1013</v>
      </c>
      <c r="Q12">
        <v>0.39090000000000003</v>
      </c>
      <c r="R12">
        <v>7.15</v>
      </c>
    </row>
    <row r="13" spans="1:18" x14ac:dyDescent="0.55000000000000004">
      <c r="A13">
        <v>92</v>
      </c>
      <c r="B13" t="s">
        <v>13</v>
      </c>
      <c r="C13" t="s">
        <v>31</v>
      </c>
      <c r="D13" t="s">
        <v>4</v>
      </c>
      <c r="E13">
        <v>100000</v>
      </c>
      <c r="F13">
        <v>5</v>
      </c>
      <c r="G13">
        <v>5</v>
      </c>
      <c r="H13">
        <v>1.0000000000000001E-5</v>
      </c>
      <c r="I13" t="s">
        <v>2</v>
      </c>
      <c r="J13">
        <v>69.7</v>
      </c>
      <c r="K13">
        <v>92</v>
      </c>
      <c r="L13">
        <v>82.668272680676566</v>
      </c>
      <c r="M13">
        <f t="shared" si="0"/>
        <v>1.9173388633192221</v>
      </c>
      <c r="N13">
        <v>5.1097989284599699</v>
      </c>
      <c r="O13">
        <f t="shared" si="1"/>
        <v>4.2241825116135772</v>
      </c>
      <c r="P13">
        <v>0.69420000000000004</v>
      </c>
      <c r="Q13">
        <v>1.4381999999999999</v>
      </c>
      <c r="R13">
        <v>6.32</v>
      </c>
    </row>
    <row r="14" spans="1:18" x14ac:dyDescent="0.55000000000000004">
      <c r="A14">
        <v>93</v>
      </c>
      <c r="B14" t="s">
        <v>13</v>
      </c>
      <c r="C14" t="s">
        <v>31</v>
      </c>
      <c r="D14" t="s">
        <v>4</v>
      </c>
      <c r="E14">
        <v>100000</v>
      </c>
      <c r="F14">
        <v>5</v>
      </c>
      <c r="G14">
        <v>5</v>
      </c>
      <c r="H14">
        <v>1.0000000000000001E-5</v>
      </c>
      <c r="I14" t="s">
        <v>2</v>
      </c>
      <c r="J14">
        <v>71.400000000000006</v>
      </c>
      <c r="K14">
        <v>93</v>
      </c>
      <c r="L14">
        <v>89.393979933110373</v>
      </c>
      <c r="M14">
        <f t="shared" si="0"/>
        <v>1.9513082730480147</v>
      </c>
      <c r="N14">
        <v>5.2151016524442051</v>
      </c>
      <c r="O14">
        <f t="shared" si="1"/>
        <v>4.6619869246772803</v>
      </c>
      <c r="P14">
        <v>0.63639999999999997</v>
      </c>
      <c r="Q14">
        <v>0.80020000000000002</v>
      </c>
      <c r="R14">
        <v>6.28</v>
      </c>
    </row>
    <row r="15" spans="1:18" x14ac:dyDescent="0.55000000000000004">
      <c r="A15">
        <v>94</v>
      </c>
      <c r="B15" t="s">
        <v>13</v>
      </c>
      <c r="C15" t="s">
        <v>31</v>
      </c>
      <c r="D15" t="s">
        <v>4</v>
      </c>
      <c r="E15">
        <v>100000</v>
      </c>
      <c r="F15">
        <v>5</v>
      </c>
      <c r="G15">
        <v>5</v>
      </c>
      <c r="H15">
        <v>1.0000000000000001E-5</v>
      </c>
      <c r="I15" t="s">
        <v>2</v>
      </c>
      <c r="J15">
        <v>56.7</v>
      </c>
      <c r="K15">
        <v>94</v>
      </c>
      <c r="L15">
        <v>72.08941684665227</v>
      </c>
      <c r="M15">
        <f t="shared" si="0"/>
        <v>1.8578715123968408</v>
      </c>
      <c r="N15">
        <v>5.9709246385808967</v>
      </c>
      <c r="O15">
        <f t="shared" si="1"/>
        <v>4.3044047523060485</v>
      </c>
      <c r="P15">
        <v>0.52980000000000005</v>
      </c>
      <c r="Q15">
        <v>0.64959999999999996</v>
      </c>
      <c r="R15">
        <v>6.23</v>
      </c>
    </row>
    <row r="16" spans="1:18" x14ac:dyDescent="0.55000000000000004">
      <c r="A16">
        <v>95</v>
      </c>
      <c r="B16" t="s">
        <v>13</v>
      </c>
      <c r="C16" t="s">
        <v>31</v>
      </c>
      <c r="D16" t="s">
        <v>4</v>
      </c>
      <c r="E16">
        <v>100000</v>
      </c>
      <c r="F16">
        <v>5</v>
      </c>
      <c r="G16">
        <v>5</v>
      </c>
      <c r="H16">
        <v>1.0000000000000001E-5</v>
      </c>
      <c r="I16" t="s">
        <v>2</v>
      </c>
      <c r="J16">
        <v>61</v>
      </c>
      <c r="K16">
        <v>95</v>
      </c>
      <c r="L16">
        <v>77.804574838388859</v>
      </c>
      <c r="M16">
        <f t="shared" si="0"/>
        <v>1.8910051338618601</v>
      </c>
      <c r="N16">
        <v>6.257297260161387</v>
      </c>
      <c r="O16">
        <f t="shared" si="1"/>
        <v>4.8684635296427219</v>
      </c>
      <c r="P16">
        <v>0.51300000000000001</v>
      </c>
      <c r="Q16">
        <v>0.64329999999999998</v>
      </c>
      <c r="R16">
        <v>6.07</v>
      </c>
    </row>
    <row r="17" spans="1:18" x14ac:dyDescent="0.55000000000000004">
      <c r="A17">
        <v>96</v>
      </c>
      <c r="B17" t="s">
        <v>14</v>
      </c>
      <c r="C17" t="s">
        <v>31</v>
      </c>
      <c r="D17" t="s">
        <v>5</v>
      </c>
      <c r="E17">
        <v>10000000</v>
      </c>
      <c r="F17">
        <v>7</v>
      </c>
      <c r="G17">
        <v>7</v>
      </c>
      <c r="H17">
        <v>9.9999999999999995E-8</v>
      </c>
      <c r="I17" t="s">
        <v>2</v>
      </c>
      <c r="J17">
        <v>35.9</v>
      </c>
      <c r="K17">
        <v>96</v>
      </c>
      <c r="L17">
        <v>48.744387052341601</v>
      </c>
      <c r="M17">
        <f t="shared" si="0"/>
        <v>1.6879246136234862</v>
      </c>
      <c r="N17">
        <v>3.7643256522487158</v>
      </c>
      <c r="O17">
        <f t="shared" si="1"/>
        <v>1.8348974658426964</v>
      </c>
      <c r="P17">
        <v>0.39429999999999998</v>
      </c>
      <c r="Q17">
        <v>0.9536</v>
      </c>
      <c r="R17">
        <v>6.22</v>
      </c>
    </row>
    <row r="18" spans="1:18" x14ac:dyDescent="0.55000000000000004">
      <c r="A18">
        <v>97</v>
      </c>
      <c r="B18" t="s">
        <v>14</v>
      </c>
      <c r="C18" t="s">
        <v>31</v>
      </c>
      <c r="D18" t="s">
        <v>5</v>
      </c>
      <c r="E18">
        <v>10000000</v>
      </c>
      <c r="F18">
        <v>7</v>
      </c>
      <c r="G18">
        <v>7</v>
      </c>
      <c r="H18">
        <v>9.9999999999999995E-8</v>
      </c>
      <c r="I18" t="s">
        <v>2</v>
      </c>
      <c r="J18">
        <v>32.200000000000003</v>
      </c>
      <c r="K18">
        <v>97</v>
      </c>
      <c r="L18">
        <v>46.131920199501252</v>
      </c>
      <c r="M18">
        <f t="shared" si="0"/>
        <v>1.6640015320999526</v>
      </c>
      <c r="N18">
        <v>1.9234503190773424</v>
      </c>
      <c r="O18">
        <f t="shared" si="1"/>
        <v>0.88732456627381184</v>
      </c>
      <c r="P18">
        <v>0.34470000000000001</v>
      </c>
      <c r="Q18">
        <v>1.5344</v>
      </c>
      <c r="R18">
        <v>6.29</v>
      </c>
    </row>
    <row r="19" spans="1:18" x14ac:dyDescent="0.55000000000000004">
      <c r="A19">
        <v>98</v>
      </c>
      <c r="B19" t="s">
        <v>14</v>
      </c>
      <c r="C19" t="s">
        <v>31</v>
      </c>
      <c r="D19" t="s">
        <v>5</v>
      </c>
      <c r="E19">
        <v>10000000</v>
      </c>
      <c r="F19">
        <v>7</v>
      </c>
      <c r="G19">
        <v>7</v>
      </c>
      <c r="H19">
        <v>9.9999999999999995E-8</v>
      </c>
      <c r="I19" t="s">
        <v>2</v>
      </c>
      <c r="J19">
        <v>11</v>
      </c>
      <c r="K19">
        <v>98</v>
      </c>
      <c r="L19">
        <v>19.926548672566373</v>
      </c>
      <c r="M19">
        <f t="shared" si="0"/>
        <v>1.2994320843373111</v>
      </c>
      <c r="N19">
        <v>4.0770589055466981</v>
      </c>
      <c r="O19">
        <f t="shared" si="1"/>
        <v>0.81241712722296466</v>
      </c>
      <c r="P19">
        <v>0.20469999999999999</v>
      </c>
      <c r="Q19">
        <v>0.18509999999999999</v>
      </c>
      <c r="R19">
        <v>6.78</v>
      </c>
    </row>
    <row r="20" spans="1:18" x14ac:dyDescent="0.55000000000000004">
      <c r="A20">
        <v>99</v>
      </c>
      <c r="B20" t="s">
        <v>14</v>
      </c>
      <c r="C20" t="s">
        <v>31</v>
      </c>
      <c r="D20" t="s">
        <v>5</v>
      </c>
      <c r="E20">
        <v>10000000</v>
      </c>
      <c r="F20">
        <v>7</v>
      </c>
      <c r="G20">
        <v>7</v>
      </c>
      <c r="H20">
        <v>9.9999999999999995E-8</v>
      </c>
      <c r="I20" t="s">
        <v>2</v>
      </c>
      <c r="J20">
        <v>43.5</v>
      </c>
      <c r="K20">
        <v>99</v>
      </c>
      <c r="L20">
        <v>57.76273541216424</v>
      </c>
      <c r="M20">
        <f t="shared" si="0"/>
        <v>1.7616477514985522</v>
      </c>
      <c r="N20">
        <v>2.2780874606440018</v>
      </c>
      <c r="O20">
        <f t="shared" si="1"/>
        <v>1.3158856323494861</v>
      </c>
      <c r="P20">
        <v>0.43009999999999998</v>
      </c>
      <c r="Q20">
        <v>1.4249000000000001</v>
      </c>
      <c r="R20">
        <v>6.32</v>
      </c>
    </row>
    <row r="21" spans="1:18" x14ac:dyDescent="0.55000000000000004">
      <c r="A21">
        <v>100</v>
      </c>
      <c r="B21" t="s">
        <v>14</v>
      </c>
      <c r="C21" t="s">
        <v>31</v>
      </c>
      <c r="D21" t="s">
        <v>5</v>
      </c>
      <c r="E21">
        <v>10000000</v>
      </c>
      <c r="F21">
        <v>7</v>
      </c>
      <c r="G21">
        <v>7</v>
      </c>
      <c r="H21">
        <v>9.9999999999999995E-8</v>
      </c>
      <c r="I21" t="s">
        <v>2</v>
      </c>
      <c r="J21">
        <v>23.900000000000002</v>
      </c>
      <c r="K21">
        <v>100</v>
      </c>
      <c r="L21">
        <v>37.143669724770646</v>
      </c>
      <c r="M21">
        <f t="shared" si="0"/>
        <v>1.5698848090022022</v>
      </c>
      <c r="N21">
        <v>3.7464981799006258</v>
      </c>
      <c r="O21">
        <f t="shared" si="1"/>
        <v>1.3915869101868321</v>
      </c>
      <c r="P21">
        <v>0.25409999999999999</v>
      </c>
      <c r="Q21">
        <v>0.4672</v>
      </c>
      <c r="R21">
        <v>6.46</v>
      </c>
    </row>
    <row r="22" spans="1:18" x14ac:dyDescent="0.55000000000000004">
      <c r="A22">
        <v>101</v>
      </c>
      <c r="B22" t="s">
        <v>15</v>
      </c>
      <c r="C22" t="s">
        <v>31</v>
      </c>
      <c r="D22" t="s">
        <v>6</v>
      </c>
      <c r="E22">
        <v>10000000000</v>
      </c>
      <c r="F22">
        <v>10</v>
      </c>
      <c r="G22">
        <v>9</v>
      </c>
      <c r="H22">
        <v>0</v>
      </c>
      <c r="I22" t="s">
        <v>2</v>
      </c>
      <c r="J22">
        <v>26.5</v>
      </c>
      <c r="K22">
        <v>101</v>
      </c>
      <c r="L22">
        <v>35.095023980815348</v>
      </c>
      <c r="M22">
        <f t="shared" si="0"/>
        <v>1.5452455435065229</v>
      </c>
      <c r="P22">
        <v>0.22090000000000001</v>
      </c>
      <c r="Q22">
        <v>1.0943000000000001</v>
      </c>
      <c r="R22">
        <v>6.37</v>
      </c>
    </row>
    <row r="23" spans="1:18" x14ac:dyDescent="0.55000000000000004">
      <c r="A23">
        <v>102</v>
      </c>
      <c r="B23" t="s">
        <v>15</v>
      </c>
      <c r="C23" t="s">
        <v>31</v>
      </c>
      <c r="D23" t="s">
        <v>6</v>
      </c>
      <c r="E23">
        <v>10000000000</v>
      </c>
      <c r="F23">
        <v>10</v>
      </c>
      <c r="G23">
        <v>9</v>
      </c>
      <c r="H23">
        <v>0</v>
      </c>
      <c r="I23" t="s">
        <v>2</v>
      </c>
      <c r="J23">
        <v>34.4</v>
      </c>
      <c r="K23">
        <v>102</v>
      </c>
      <c r="L23">
        <v>46.83156424581005</v>
      </c>
      <c r="M23">
        <f t="shared" si="0"/>
        <v>1.6705386641236979</v>
      </c>
      <c r="N23">
        <v>3.9782914279127599</v>
      </c>
      <c r="O23">
        <f t="shared" si="1"/>
        <v>1.863096105948518</v>
      </c>
      <c r="P23">
        <v>0.38990000000000002</v>
      </c>
      <c r="Q23">
        <v>0.99370000000000003</v>
      </c>
      <c r="R23">
        <v>6.41</v>
      </c>
    </row>
    <row r="24" spans="1:18" x14ac:dyDescent="0.55000000000000004">
      <c r="A24">
        <v>103</v>
      </c>
      <c r="B24" t="s">
        <v>15</v>
      </c>
      <c r="C24" t="s">
        <v>31</v>
      </c>
      <c r="D24" t="s">
        <v>6</v>
      </c>
      <c r="E24">
        <v>10000000000</v>
      </c>
      <c r="F24">
        <v>10</v>
      </c>
      <c r="G24">
        <v>9</v>
      </c>
      <c r="H24">
        <v>0</v>
      </c>
      <c r="I24" t="s">
        <v>2</v>
      </c>
      <c r="J24">
        <v>23.2</v>
      </c>
      <c r="K24">
        <v>103</v>
      </c>
      <c r="L24">
        <v>30.16</v>
      </c>
      <c r="M24">
        <f t="shared" si="0"/>
        <v>1.4794313371977363</v>
      </c>
      <c r="P24">
        <v>0.1794</v>
      </c>
      <c r="Q24">
        <v>0.99370000000000003</v>
      </c>
      <c r="R24">
        <v>6.41</v>
      </c>
    </row>
    <row r="25" spans="1:18" x14ac:dyDescent="0.55000000000000004">
      <c r="A25">
        <v>104</v>
      </c>
      <c r="B25" t="s">
        <v>15</v>
      </c>
      <c r="C25" t="s">
        <v>31</v>
      </c>
      <c r="D25" t="s">
        <v>6</v>
      </c>
      <c r="E25">
        <v>10000000000</v>
      </c>
      <c r="F25">
        <v>10</v>
      </c>
      <c r="G25">
        <v>9</v>
      </c>
      <c r="H25">
        <v>0</v>
      </c>
      <c r="I25" t="s">
        <v>2</v>
      </c>
      <c r="J25">
        <v>26.3</v>
      </c>
      <c r="K25">
        <v>104</v>
      </c>
      <c r="L25">
        <v>37.159029993618375</v>
      </c>
      <c r="M25">
        <f t="shared" si="0"/>
        <v>1.5700643685638718</v>
      </c>
      <c r="P25">
        <v>0.22140000000000001</v>
      </c>
      <c r="Q25">
        <v>1.0396000000000001</v>
      </c>
      <c r="R25">
        <v>6.34</v>
      </c>
    </row>
    <row r="26" spans="1:18" x14ac:dyDescent="0.55000000000000004">
      <c r="A26">
        <v>105</v>
      </c>
      <c r="B26" t="s">
        <v>15</v>
      </c>
      <c r="C26" t="s">
        <v>31</v>
      </c>
      <c r="D26" t="s">
        <v>6</v>
      </c>
      <c r="E26">
        <v>10000000000</v>
      </c>
      <c r="F26">
        <v>10</v>
      </c>
      <c r="G26">
        <v>9</v>
      </c>
      <c r="H26">
        <v>0</v>
      </c>
      <c r="I26" t="s">
        <v>2</v>
      </c>
      <c r="J26">
        <v>26.700000000000003</v>
      </c>
      <c r="K26">
        <v>105</v>
      </c>
      <c r="L26">
        <v>36.434374999999996</v>
      </c>
      <c r="M26">
        <f t="shared" si="0"/>
        <v>1.561511323980771</v>
      </c>
      <c r="P26">
        <v>0.22270000000000001</v>
      </c>
      <c r="Q26">
        <v>1.4962</v>
      </c>
      <c r="R26">
        <v>6.33</v>
      </c>
    </row>
    <row r="27" spans="1:18" x14ac:dyDescent="0.55000000000000004">
      <c r="A27">
        <v>106</v>
      </c>
      <c r="B27" t="s">
        <v>16</v>
      </c>
      <c r="C27" t="s">
        <v>33</v>
      </c>
      <c r="D27" t="s">
        <v>1</v>
      </c>
      <c r="E27">
        <v>10</v>
      </c>
      <c r="F27">
        <v>1</v>
      </c>
      <c r="G27">
        <v>1</v>
      </c>
      <c r="H27">
        <v>0.1</v>
      </c>
      <c r="I27" t="s">
        <v>2</v>
      </c>
      <c r="J27">
        <v>72.5</v>
      </c>
      <c r="K27">
        <v>106</v>
      </c>
      <c r="L27">
        <v>93.0029700413223</v>
      </c>
      <c r="M27">
        <f t="shared" si="0"/>
        <v>1.968496817929861</v>
      </c>
      <c r="N27">
        <v>1.6547709458667119</v>
      </c>
      <c r="O27">
        <f t="shared" si="1"/>
        <v>1.5389861270369236</v>
      </c>
      <c r="P27">
        <v>0.49669999999999997</v>
      </c>
      <c r="Q27">
        <v>1.3161</v>
      </c>
      <c r="R27">
        <v>7.08</v>
      </c>
    </row>
    <row r="28" spans="1:18" x14ac:dyDescent="0.55000000000000004">
      <c r="A28">
        <v>107</v>
      </c>
      <c r="B28" t="s">
        <v>16</v>
      </c>
      <c r="C28" t="s">
        <v>33</v>
      </c>
      <c r="D28" t="s">
        <v>1</v>
      </c>
      <c r="E28">
        <v>10</v>
      </c>
      <c r="F28">
        <v>1</v>
      </c>
      <c r="G28">
        <v>1</v>
      </c>
      <c r="H28">
        <v>0.1</v>
      </c>
      <c r="I28" t="s">
        <v>2</v>
      </c>
      <c r="J28">
        <v>102.6</v>
      </c>
      <c r="K28">
        <v>107</v>
      </c>
      <c r="L28">
        <v>121.94630050725905</v>
      </c>
      <c r="M28">
        <f t="shared" si="0"/>
        <v>2.0861686296300381</v>
      </c>
      <c r="N28">
        <v>1.4240172056656608</v>
      </c>
      <c r="O28">
        <f t="shared" si="1"/>
        <v>1.7365363008961201</v>
      </c>
      <c r="P28">
        <v>0.67949999999999999</v>
      </c>
      <c r="Q28">
        <v>1.5831999999999999</v>
      </c>
      <c r="R28">
        <v>7.02</v>
      </c>
    </row>
    <row r="29" spans="1:18" x14ac:dyDescent="0.55000000000000004">
      <c r="A29">
        <v>108</v>
      </c>
      <c r="B29" t="s">
        <v>16</v>
      </c>
      <c r="C29" t="s">
        <v>33</v>
      </c>
      <c r="D29" t="s">
        <v>1</v>
      </c>
      <c r="E29">
        <v>10</v>
      </c>
      <c r="F29">
        <v>1</v>
      </c>
      <c r="G29">
        <v>1</v>
      </c>
      <c r="H29">
        <v>0.1</v>
      </c>
      <c r="I29" t="s">
        <v>2</v>
      </c>
      <c r="J29">
        <v>59.6</v>
      </c>
      <c r="K29">
        <v>108</v>
      </c>
      <c r="L29">
        <v>73.300524515393391</v>
      </c>
      <c r="M29">
        <f t="shared" si="0"/>
        <v>1.8651070823263396</v>
      </c>
      <c r="N29">
        <v>2.4665412844352561</v>
      </c>
      <c r="O29">
        <f t="shared" si="1"/>
        <v>1.8079876988797638</v>
      </c>
      <c r="P29">
        <v>0.5393</v>
      </c>
      <c r="Q29">
        <v>0.91059999999999997</v>
      </c>
      <c r="R29">
        <v>7.15</v>
      </c>
    </row>
    <row r="30" spans="1:18" x14ac:dyDescent="0.55000000000000004">
      <c r="A30">
        <v>109</v>
      </c>
      <c r="B30" t="s">
        <v>16</v>
      </c>
      <c r="C30" t="s">
        <v>33</v>
      </c>
      <c r="D30" t="s">
        <v>1</v>
      </c>
      <c r="E30">
        <v>10</v>
      </c>
      <c r="F30">
        <v>1</v>
      </c>
      <c r="G30">
        <v>1</v>
      </c>
      <c r="H30">
        <v>0.1</v>
      </c>
      <c r="I30" t="s">
        <v>2</v>
      </c>
      <c r="J30">
        <v>63.8</v>
      </c>
      <c r="K30">
        <v>109</v>
      </c>
      <c r="L30">
        <v>80.973303834808249</v>
      </c>
      <c r="M30">
        <f t="shared" si="0"/>
        <v>1.908341859517678</v>
      </c>
      <c r="N30">
        <v>1.5568358947181784</v>
      </c>
      <c r="O30">
        <f t="shared" si="1"/>
        <v>1.260621459239506</v>
      </c>
      <c r="P30">
        <v>0.51629999999999998</v>
      </c>
      <c r="Q30">
        <v>1.5670999999999999</v>
      </c>
      <c r="R30">
        <v>7.07</v>
      </c>
    </row>
    <row r="31" spans="1:18" x14ac:dyDescent="0.55000000000000004">
      <c r="A31">
        <v>110</v>
      </c>
      <c r="B31" t="s">
        <v>16</v>
      </c>
      <c r="C31" t="s">
        <v>33</v>
      </c>
      <c r="D31" t="s">
        <v>1</v>
      </c>
      <c r="E31">
        <v>10</v>
      </c>
      <c r="F31">
        <v>1</v>
      </c>
      <c r="G31">
        <v>1</v>
      </c>
      <c r="H31">
        <v>0.1</v>
      </c>
      <c r="I31" t="s">
        <v>2</v>
      </c>
      <c r="J31">
        <v>54.6</v>
      </c>
      <c r="K31">
        <v>110</v>
      </c>
      <c r="L31">
        <v>68.106104437362106</v>
      </c>
      <c r="M31">
        <f t="shared" si="0"/>
        <v>1.8331860400280002</v>
      </c>
      <c r="N31">
        <v>1.9700409921616331</v>
      </c>
      <c r="O31">
        <f t="shared" si="1"/>
        <v>1.3417181755804464</v>
      </c>
      <c r="P31">
        <v>0.50880000000000003</v>
      </c>
      <c r="Q31">
        <v>1.1548</v>
      </c>
      <c r="R31">
        <v>7.19</v>
      </c>
    </row>
    <row r="32" spans="1:18" x14ac:dyDescent="0.55000000000000004">
      <c r="A32">
        <v>111</v>
      </c>
      <c r="B32" t="s">
        <v>17</v>
      </c>
      <c r="C32" t="s">
        <v>33</v>
      </c>
      <c r="D32" t="s">
        <v>3</v>
      </c>
      <c r="E32">
        <v>1000</v>
      </c>
      <c r="F32">
        <v>3</v>
      </c>
      <c r="G32">
        <v>3</v>
      </c>
      <c r="H32">
        <v>1E-3</v>
      </c>
      <c r="I32" t="s">
        <v>2</v>
      </c>
      <c r="J32">
        <v>83.5</v>
      </c>
      <c r="K32">
        <v>111</v>
      </c>
      <c r="L32">
        <v>97.170477303070768</v>
      </c>
      <c r="M32">
        <f t="shared" si="0"/>
        <v>1.9875343359971103</v>
      </c>
      <c r="N32">
        <v>1.3971822390684971</v>
      </c>
      <c r="O32">
        <f t="shared" si="1"/>
        <v>1.3576486504965901</v>
      </c>
      <c r="P32">
        <v>0.69730000000000003</v>
      </c>
      <c r="Q32">
        <v>1.6323000000000001</v>
      </c>
      <c r="R32">
        <v>7.16</v>
      </c>
    </row>
    <row r="33" spans="1:18" x14ac:dyDescent="0.55000000000000004">
      <c r="A33">
        <v>112</v>
      </c>
      <c r="B33" t="s">
        <v>17</v>
      </c>
      <c r="C33" t="s">
        <v>33</v>
      </c>
      <c r="D33" t="s">
        <v>3</v>
      </c>
      <c r="E33">
        <v>1000</v>
      </c>
      <c r="F33">
        <v>3</v>
      </c>
      <c r="G33">
        <v>3</v>
      </c>
      <c r="H33">
        <v>1E-3</v>
      </c>
      <c r="I33" t="s">
        <v>2</v>
      </c>
      <c r="J33">
        <v>64.5</v>
      </c>
      <c r="K33">
        <v>112</v>
      </c>
      <c r="L33">
        <v>80.80058983666062</v>
      </c>
      <c r="M33">
        <f t="shared" si="0"/>
        <v>1.9074145310947834</v>
      </c>
      <c r="N33">
        <v>2.1161065024615775</v>
      </c>
      <c r="O33">
        <f t="shared" si="1"/>
        <v>1.7098265355608839</v>
      </c>
      <c r="P33">
        <v>0.55220000000000002</v>
      </c>
      <c r="Q33">
        <v>1.3737999999999999</v>
      </c>
      <c r="R33">
        <v>6.98</v>
      </c>
    </row>
    <row r="34" spans="1:18" x14ac:dyDescent="0.55000000000000004">
      <c r="A34">
        <v>113</v>
      </c>
      <c r="B34" t="s">
        <v>17</v>
      </c>
      <c r="C34" t="s">
        <v>33</v>
      </c>
      <c r="D34" t="s">
        <v>3</v>
      </c>
      <c r="E34">
        <v>1000</v>
      </c>
      <c r="F34">
        <v>3</v>
      </c>
      <c r="G34">
        <v>3</v>
      </c>
      <c r="H34">
        <v>1E-3</v>
      </c>
      <c r="I34" t="s">
        <v>2</v>
      </c>
      <c r="J34">
        <v>56.4</v>
      </c>
      <c r="K34">
        <v>113</v>
      </c>
      <c r="L34">
        <v>70.2</v>
      </c>
      <c r="M34">
        <f t="shared" si="0"/>
        <v>1.8463371121298053</v>
      </c>
      <c r="N34">
        <v>1.8809813123744472</v>
      </c>
      <c r="O34">
        <f t="shared" si="1"/>
        <v>1.320448881286862</v>
      </c>
      <c r="P34">
        <v>0.54990000000000006</v>
      </c>
      <c r="Q34">
        <v>1.5922000000000001</v>
      </c>
      <c r="R34">
        <v>7</v>
      </c>
    </row>
    <row r="35" spans="1:18" x14ac:dyDescent="0.55000000000000004">
      <c r="A35">
        <v>114</v>
      </c>
      <c r="B35" t="s">
        <v>17</v>
      </c>
      <c r="C35" t="s">
        <v>33</v>
      </c>
      <c r="D35" t="s">
        <v>3</v>
      </c>
      <c r="E35">
        <v>1000</v>
      </c>
      <c r="F35">
        <v>3</v>
      </c>
      <c r="G35">
        <v>3</v>
      </c>
      <c r="H35">
        <v>1E-3</v>
      </c>
      <c r="I35" t="s">
        <v>2</v>
      </c>
      <c r="J35">
        <v>87.4</v>
      </c>
      <c r="K35">
        <v>114</v>
      </c>
      <c r="L35">
        <v>102.3358324533615</v>
      </c>
      <c r="M35">
        <f t="shared" si="0"/>
        <v>2.0100277266935351</v>
      </c>
      <c r="N35">
        <v>1.5405507970767225</v>
      </c>
      <c r="O35">
        <f t="shared" si="1"/>
        <v>1.5765354825553599</v>
      </c>
      <c r="P35">
        <v>0.6653</v>
      </c>
      <c r="Q35">
        <v>1.577</v>
      </c>
      <c r="R35">
        <v>6.98</v>
      </c>
    </row>
    <row r="36" spans="1:18" x14ac:dyDescent="0.55000000000000004">
      <c r="A36">
        <v>115</v>
      </c>
      <c r="B36" t="s">
        <v>17</v>
      </c>
      <c r="C36" t="s">
        <v>33</v>
      </c>
      <c r="D36" t="s">
        <v>3</v>
      </c>
      <c r="E36">
        <v>1000</v>
      </c>
      <c r="F36">
        <v>3</v>
      </c>
      <c r="G36">
        <v>3</v>
      </c>
      <c r="H36">
        <v>1E-3</v>
      </c>
      <c r="I36" t="s">
        <v>2</v>
      </c>
      <c r="J36">
        <v>90.1</v>
      </c>
      <c r="K36">
        <v>115</v>
      </c>
      <c r="L36">
        <v>108.28318240620958</v>
      </c>
      <c r="M36">
        <f t="shared" si="0"/>
        <v>2.0345610110543797</v>
      </c>
      <c r="N36">
        <v>1.1251982776809637</v>
      </c>
      <c r="O36">
        <f t="shared" si="1"/>
        <v>1.2184005034528065</v>
      </c>
      <c r="P36">
        <v>0.65029999999999999</v>
      </c>
      <c r="Q36">
        <v>2.0455000000000001</v>
      </c>
      <c r="R36">
        <v>7.07</v>
      </c>
    </row>
    <row r="37" spans="1:18" x14ac:dyDescent="0.55000000000000004">
      <c r="A37">
        <v>116</v>
      </c>
      <c r="B37" t="s">
        <v>18</v>
      </c>
      <c r="C37" t="s">
        <v>33</v>
      </c>
      <c r="D37" t="s">
        <v>4</v>
      </c>
      <c r="E37">
        <v>100000</v>
      </c>
      <c r="F37">
        <v>5</v>
      </c>
      <c r="G37">
        <v>5</v>
      </c>
      <c r="H37">
        <v>1.0000000000000001E-5</v>
      </c>
      <c r="I37" t="s">
        <v>2</v>
      </c>
      <c r="J37">
        <v>75.7</v>
      </c>
      <c r="K37">
        <v>116</v>
      </c>
      <c r="L37">
        <v>92.014787731058291</v>
      </c>
      <c r="M37">
        <f t="shared" si="0"/>
        <v>1.9638576285837219</v>
      </c>
      <c r="N37">
        <v>0.9832944430873557</v>
      </c>
      <c r="O37">
        <f t="shared" si="1"/>
        <v>0.90477629457812214</v>
      </c>
      <c r="P37">
        <v>0.59840000000000004</v>
      </c>
      <c r="Q37">
        <v>1.6307</v>
      </c>
      <c r="R37">
        <v>7.22</v>
      </c>
    </row>
    <row r="38" spans="1:18" x14ac:dyDescent="0.55000000000000004">
      <c r="A38">
        <v>117</v>
      </c>
      <c r="B38" t="s">
        <v>18</v>
      </c>
      <c r="C38" t="s">
        <v>33</v>
      </c>
      <c r="D38" t="s">
        <v>4</v>
      </c>
      <c r="E38">
        <v>100000</v>
      </c>
      <c r="F38">
        <v>5</v>
      </c>
      <c r="G38">
        <v>5</v>
      </c>
      <c r="H38">
        <v>1.0000000000000001E-5</v>
      </c>
      <c r="I38" t="s">
        <v>2</v>
      </c>
      <c r="J38">
        <v>85.1</v>
      </c>
      <c r="K38">
        <v>117</v>
      </c>
      <c r="L38">
        <v>102.00818236113876</v>
      </c>
      <c r="M38">
        <f t="shared" si="0"/>
        <v>2.0086350091321865</v>
      </c>
      <c r="N38">
        <v>1.305398870167797</v>
      </c>
      <c r="O38">
        <f t="shared" si="1"/>
        <v>1.3316136600210113</v>
      </c>
      <c r="P38">
        <v>0.60209999999999997</v>
      </c>
      <c r="Q38">
        <v>1.9541999999999999</v>
      </c>
      <c r="R38">
        <v>7</v>
      </c>
    </row>
    <row r="39" spans="1:18" x14ac:dyDescent="0.55000000000000004">
      <c r="A39">
        <v>118</v>
      </c>
      <c r="B39" t="s">
        <v>18</v>
      </c>
      <c r="C39" t="s">
        <v>33</v>
      </c>
      <c r="D39" t="s">
        <v>4</v>
      </c>
      <c r="E39">
        <v>100000</v>
      </c>
      <c r="F39">
        <v>5</v>
      </c>
      <c r="G39">
        <v>5</v>
      </c>
      <c r="H39">
        <v>1.0000000000000001E-5</v>
      </c>
      <c r="I39" t="s">
        <v>2</v>
      </c>
      <c r="J39">
        <v>80.3</v>
      </c>
      <c r="K39">
        <v>118</v>
      </c>
      <c r="L39">
        <v>96.099536624487612</v>
      </c>
      <c r="M39">
        <f t="shared" si="0"/>
        <v>1.9827212935799579</v>
      </c>
      <c r="N39">
        <v>1.2632097059968337</v>
      </c>
      <c r="O39">
        <f t="shared" si="1"/>
        <v>1.2139386740585096</v>
      </c>
      <c r="P39">
        <v>0.67149999999999999</v>
      </c>
      <c r="Q39">
        <v>0.997</v>
      </c>
      <c r="R39">
        <v>6.94</v>
      </c>
    </row>
    <row r="40" spans="1:18" x14ac:dyDescent="0.55000000000000004">
      <c r="A40">
        <v>119</v>
      </c>
      <c r="B40" t="s">
        <v>18</v>
      </c>
      <c r="C40" t="s">
        <v>33</v>
      </c>
      <c r="D40" t="s">
        <v>4</v>
      </c>
      <c r="E40">
        <v>100000</v>
      </c>
      <c r="F40">
        <v>5</v>
      </c>
      <c r="G40">
        <v>5</v>
      </c>
      <c r="H40">
        <v>1.0000000000000001E-5</v>
      </c>
      <c r="I40" t="s">
        <v>2</v>
      </c>
      <c r="J40">
        <v>107.30000000000001</v>
      </c>
      <c r="K40">
        <v>119</v>
      </c>
      <c r="L40">
        <v>124.28385023300659</v>
      </c>
      <c r="M40">
        <f t="shared" si="0"/>
        <v>2.094414698952487</v>
      </c>
      <c r="N40">
        <v>0.91689891642350962</v>
      </c>
      <c r="O40">
        <f t="shared" si="1"/>
        <v>1.139557276075855</v>
      </c>
      <c r="P40">
        <v>0.7208</v>
      </c>
      <c r="Q40">
        <v>2.0790999999999999</v>
      </c>
      <c r="R40">
        <v>7</v>
      </c>
    </row>
    <row r="41" spans="1:18" x14ac:dyDescent="0.55000000000000004">
      <c r="A41">
        <v>120</v>
      </c>
      <c r="B41" t="s">
        <v>18</v>
      </c>
      <c r="C41" t="s">
        <v>33</v>
      </c>
      <c r="D41" t="s">
        <v>4</v>
      </c>
      <c r="E41">
        <v>100000</v>
      </c>
      <c r="F41">
        <v>5</v>
      </c>
      <c r="G41">
        <v>5</v>
      </c>
      <c r="H41">
        <v>1.0000000000000001E-5</v>
      </c>
      <c r="I41" t="s">
        <v>2</v>
      </c>
      <c r="J41">
        <v>81.5</v>
      </c>
      <c r="K41">
        <v>120</v>
      </c>
      <c r="L41">
        <v>95.978198781416594</v>
      </c>
      <c r="M41">
        <f t="shared" si="0"/>
        <v>1.9821725952876743</v>
      </c>
      <c r="N41">
        <v>1.0039524638319282</v>
      </c>
      <c r="O41">
        <f t="shared" si="1"/>
        <v>0.96357549140753762</v>
      </c>
      <c r="P41">
        <v>0.61850000000000005</v>
      </c>
      <c r="Q41">
        <v>1.9544999999999999</v>
      </c>
      <c r="R41">
        <v>7.19</v>
      </c>
    </row>
    <row r="42" spans="1:18" x14ac:dyDescent="0.55000000000000004">
      <c r="A42">
        <v>121</v>
      </c>
      <c r="B42" t="s">
        <v>19</v>
      </c>
      <c r="C42" t="s">
        <v>33</v>
      </c>
      <c r="D42" t="s">
        <v>5</v>
      </c>
      <c r="E42">
        <v>10000000</v>
      </c>
      <c r="F42">
        <v>7</v>
      </c>
      <c r="G42">
        <v>7</v>
      </c>
      <c r="H42">
        <v>9.9999999999999995E-8</v>
      </c>
      <c r="I42" t="s">
        <v>2</v>
      </c>
      <c r="J42">
        <v>29.6</v>
      </c>
      <c r="K42">
        <v>121</v>
      </c>
      <c r="L42">
        <v>38.875923566878981</v>
      </c>
      <c r="M42">
        <f t="shared" si="0"/>
        <v>1.5896807195972027</v>
      </c>
      <c r="N42">
        <v>2.712645112164132</v>
      </c>
      <c r="O42">
        <f t="shared" si="1"/>
        <v>1.0545658404456064</v>
      </c>
      <c r="P42">
        <v>0.41239999999999999</v>
      </c>
      <c r="Q42">
        <v>1.1055999999999999</v>
      </c>
      <c r="R42">
        <v>7.12</v>
      </c>
    </row>
    <row r="43" spans="1:18" x14ac:dyDescent="0.55000000000000004">
      <c r="A43">
        <v>122</v>
      </c>
      <c r="B43" t="s">
        <v>19</v>
      </c>
      <c r="C43" t="s">
        <v>33</v>
      </c>
      <c r="D43" t="s">
        <v>5</v>
      </c>
      <c r="E43">
        <v>10000000</v>
      </c>
      <c r="F43">
        <v>7</v>
      </c>
      <c r="G43">
        <v>7</v>
      </c>
      <c r="H43">
        <v>9.9999999999999995E-8</v>
      </c>
      <c r="I43" t="s">
        <v>2</v>
      </c>
      <c r="J43">
        <v>59.3</v>
      </c>
      <c r="K43">
        <v>122</v>
      </c>
      <c r="L43">
        <v>69.681899109792283</v>
      </c>
      <c r="M43">
        <f t="shared" si="0"/>
        <v>1.8431199784184362</v>
      </c>
      <c r="N43">
        <v>1.8819273742308646</v>
      </c>
      <c r="O43">
        <f t="shared" si="1"/>
        <v>1.311362734231114</v>
      </c>
      <c r="P43">
        <v>0.79200000000000004</v>
      </c>
      <c r="Q43">
        <v>1.5973999999999999</v>
      </c>
      <c r="R43">
        <v>6.99</v>
      </c>
    </row>
    <row r="44" spans="1:18" x14ac:dyDescent="0.55000000000000004">
      <c r="A44">
        <v>123</v>
      </c>
      <c r="B44" t="s">
        <v>19</v>
      </c>
      <c r="C44" t="s">
        <v>33</v>
      </c>
      <c r="D44" t="s">
        <v>5</v>
      </c>
      <c r="E44">
        <v>10000000</v>
      </c>
      <c r="F44">
        <v>7</v>
      </c>
      <c r="G44">
        <v>7</v>
      </c>
      <c r="H44">
        <v>9.9999999999999995E-8</v>
      </c>
      <c r="I44" t="s">
        <v>2</v>
      </c>
      <c r="J44">
        <v>73.400000000000006</v>
      </c>
      <c r="K44">
        <v>123</v>
      </c>
      <c r="L44">
        <v>90.108302939283433</v>
      </c>
      <c r="M44">
        <f t="shared" si="0"/>
        <v>1.9547648104527289</v>
      </c>
      <c r="N44">
        <v>0.90779264053359454</v>
      </c>
      <c r="O44">
        <f t="shared" si="1"/>
        <v>0.81799654259253163</v>
      </c>
      <c r="P44">
        <v>0.57220000000000004</v>
      </c>
      <c r="Q44">
        <v>1.8554999999999999</v>
      </c>
      <c r="R44">
        <v>6.93</v>
      </c>
    </row>
    <row r="45" spans="1:18" x14ac:dyDescent="0.55000000000000004">
      <c r="A45">
        <v>124</v>
      </c>
      <c r="B45" t="s">
        <v>19</v>
      </c>
      <c r="C45" t="s">
        <v>33</v>
      </c>
      <c r="D45" t="s">
        <v>5</v>
      </c>
      <c r="E45">
        <v>10000000</v>
      </c>
      <c r="F45">
        <v>7</v>
      </c>
      <c r="G45">
        <v>7</v>
      </c>
      <c r="H45">
        <v>9.9999999999999995E-8</v>
      </c>
      <c r="I45" t="s">
        <v>2</v>
      </c>
      <c r="J45">
        <v>87.3</v>
      </c>
      <c r="K45">
        <v>124</v>
      </c>
      <c r="L45">
        <v>104.85947859116023</v>
      </c>
      <c r="M45">
        <f t="shared" si="0"/>
        <v>2.0206076938741289</v>
      </c>
      <c r="N45">
        <v>1.2179615349015382</v>
      </c>
      <c r="O45">
        <f t="shared" si="1"/>
        <v>1.277148114938645</v>
      </c>
      <c r="P45">
        <v>0.69569999999999999</v>
      </c>
      <c r="Q45">
        <v>2.4365000000000001</v>
      </c>
      <c r="R45">
        <v>6.9</v>
      </c>
    </row>
    <row r="46" spans="1:18" x14ac:dyDescent="0.55000000000000004">
      <c r="A46">
        <v>125</v>
      </c>
      <c r="B46" t="s">
        <v>19</v>
      </c>
      <c r="C46" t="s">
        <v>33</v>
      </c>
      <c r="D46" t="s">
        <v>5</v>
      </c>
      <c r="E46">
        <v>10000000</v>
      </c>
      <c r="F46">
        <v>7</v>
      </c>
      <c r="G46">
        <v>7</v>
      </c>
      <c r="H46">
        <v>9.9999999999999995E-8</v>
      </c>
      <c r="I46" t="s">
        <v>2</v>
      </c>
      <c r="J46">
        <v>62.7</v>
      </c>
      <c r="K46">
        <v>125</v>
      </c>
      <c r="L46">
        <v>78.692430086788832</v>
      </c>
      <c r="M46">
        <f t="shared" si="0"/>
        <v>1.8959329568869301</v>
      </c>
      <c r="N46">
        <v>2.3444494241324674</v>
      </c>
      <c r="O46">
        <f t="shared" si="1"/>
        <v>1.8449042240055653</v>
      </c>
      <c r="P46">
        <v>0.52059999999999995</v>
      </c>
      <c r="Q46">
        <v>1.4029</v>
      </c>
      <c r="R46">
        <v>6.98</v>
      </c>
    </row>
    <row r="47" spans="1:18" x14ac:dyDescent="0.55000000000000004">
      <c r="A47">
        <v>126</v>
      </c>
      <c r="B47" t="s">
        <v>7</v>
      </c>
      <c r="C47" t="s">
        <v>33</v>
      </c>
      <c r="D47" t="s">
        <v>6</v>
      </c>
      <c r="E47">
        <v>10000000000</v>
      </c>
      <c r="F47">
        <v>10</v>
      </c>
      <c r="G47">
        <v>9</v>
      </c>
      <c r="H47">
        <v>0</v>
      </c>
      <c r="I47" t="s">
        <v>2</v>
      </c>
      <c r="J47">
        <v>35</v>
      </c>
      <c r="K47">
        <v>126</v>
      </c>
      <c r="L47">
        <v>46.822851805728526</v>
      </c>
      <c r="M47">
        <f t="shared" si="0"/>
        <v>1.6704578614275356</v>
      </c>
      <c r="N47">
        <v>3.0466503359372212</v>
      </c>
      <c r="O47">
        <f t="shared" si="1"/>
        <v>1.4265285718346155</v>
      </c>
      <c r="P47">
        <v>0.42970000000000003</v>
      </c>
      <c r="Q47">
        <v>1.0402</v>
      </c>
      <c r="R47">
        <v>7.01</v>
      </c>
    </row>
    <row r="48" spans="1:18" x14ac:dyDescent="0.55000000000000004">
      <c r="A48">
        <v>127</v>
      </c>
      <c r="B48" t="s">
        <v>7</v>
      </c>
      <c r="C48" t="s">
        <v>33</v>
      </c>
      <c r="D48" t="s">
        <v>6</v>
      </c>
      <c r="E48">
        <v>10000000000</v>
      </c>
      <c r="F48">
        <v>10</v>
      </c>
      <c r="G48">
        <v>9</v>
      </c>
      <c r="H48">
        <v>0</v>
      </c>
      <c r="I48" t="s">
        <v>2</v>
      </c>
      <c r="J48">
        <v>55.4</v>
      </c>
      <c r="K48">
        <v>127</v>
      </c>
      <c r="L48">
        <v>71.375951050811395</v>
      </c>
      <c r="M48">
        <f t="shared" si="0"/>
        <v>1.8535519080611567</v>
      </c>
      <c r="N48">
        <v>2.4174680322862709</v>
      </c>
      <c r="O48">
        <f t="shared" si="1"/>
        <v>1.7254907993936621</v>
      </c>
      <c r="P48">
        <v>0.48430000000000001</v>
      </c>
      <c r="Q48">
        <v>1.2870999999999999</v>
      </c>
      <c r="R48">
        <v>7.05</v>
      </c>
    </row>
    <row r="49" spans="1:18" x14ac:dyDescent="0.55000000000000004">
      <c r="A49">
        <v>128</v>
      </c>
      <c r="B49" t="s">
        <v>7</v>
      </c>
      <c r="C49" t="s">
        <v>33</v>
      </c>
      <c r="D49" t="s">
        <v>6</v>
      </c>
      <c r="E49">
        <v>10000000000</v>
      </c>
      <c r="F49">
        <v>10</v>
      </c>
      <c r="G49">
        <v>9</v>
      </c>
      <c r="H49">
        <v>0</v>
      </c>
      <c r="I49" t="s">
        <v>2</v>
      </c>
      <c r="J49">
        <v>45.400000000000006</v>
      </c>
      <c r="K49">
        <v>128</v>
      </c>
      <c r="L49">
        <v>59.550482132728305</v>
      </c>
      <c r="M49">
        <f t="shared" si="0"/>
        <v>1.7748852819688521</v>
      </c>
      <c r="N49">
        <v>1.8386369978748101</v>
      </c>
      <c r="O49">
        <f t="shared" si="1"/>
        <v>1.0949171969051708</v>
      </c>
      <c r="P49">
        <v>0.46250000000000002</v>
      </c>
      <c r="Q49">
        <v>1.0699000000000001</v>
      </c>
      <c r="R49">
        <v>6.89</v>
      </c>
    </row>
    <row r="50" spans="1:18" x14ac:dyDescent="0.55000000000000004">
      <c r="A50">
        <v>129</v>
      </c>
      <c r="B50" t="s">
        <v>7</v>
      </c>
      <c r="C50" t="s">
        <v>33</v>
      </c>
      <c r="D50" t="s">
        <v>6</v>
      </c>
      <c r="E50">
        <v>10000000000</v>
      </c>
      <c r="F50">
        <v>10</v>
      </c>
      <c r="G50">
        <v>9</v>
      </c>
      <c r="H50">
        <v>0</v>
      </c>
      <c r="I50" t="s">
        <v>2</v>
      </c>
      <c r="J50">
        <v>46.5</v>
      </c>
      <c r="K50">
        <v>129</v>
      </c>
      <c r="L50">
        <v>57.879420840256344</v>
      </c>
      <c r="M50">
        <f t="shared" si="0"/>
        <v>1.7625241767811528</v>
      </c>
      <c r="N50">
        <v>2.3614941976493236</v>
      </c>
      <c r="O50">
        <f t="shared" si="1"/>
        <v>1.3668191647756869</v>
      </c>
      <c r="P50">
        <v>0.52439999999999998</v>
      </c>
      <c r="Q50">
        <v>1.1351</v>
      </c>
      <c r="R50">
        <v>7.01</v>
      </c>
    </row>
    <row r="51" spans="1:18" x14ac:dyDescent="0.55000000000000004">
      <c r="A51">
        <v>130</v>
      </c>
      <c r="B51" t="s">
        <v>7</v>
      </c>
      <c r="C51" t="s">
        <v>33</v>
      </c>
      <c r="D51" t="s">
        <v>6</v>
      </c>
      <c r="E51">
        <v>10000000000</v>
      </c>
      <c r="F51">
        <v>10</v>
      </c>
      <c r="G51">
        <v>9</v>
      </c>
      <c r="H51">
        <v>0</v>
      </c>
      <c r="I51" t="s">
        <v>2</v>
      </c>
      <c r="J51">
        <v>66.699999999999989</v>
      </c>
      <c r="K51">
        <v>130</v>
      </c>
      <c r="L51">
        <v>82.525981082712804</v>
      </c>
      <c r="M51">
        <f t="shared" si="0"/>
        <v>1.9165906959987236</v>
      </c>
      <c r="N51">
        <v>1.8493020896413792</v>
      </c>
      <c r="O51">
        <f t="shared" si="1"/>
        <v>1.5261546926596572</v>
      </c>
      <c r="P51">
        <v>0.61480000000000001</v>
      </c>
      <c r="Q51">
        <v>1.9994000000000001</v>
      </c>
      <c r="R51">
        <v>6.66</v>
      </c>
    </row>
    <row r="52" spans="1:18" x14ac:dyDescent="0.55000000000000004">
      <c r="A52">
        <v>211</v>
      </c>
      <c r="B52" t="s">
        <v>20</v>
      </c>
      <c r="C52" t="s">
        <v>31</v>
      </c>
      <c r="D52" t="s">
        <v>1</v>
      </c>
      <c r="E52">
        <v>10</v>
      </c>
      <c r="F52">
        <v>1</v>
      </c>
      <c r="G52">
        <v>1</v>
      </c>
      <c r="H52">
        <v>0.1</v>
      </c>
      <c r="I52" t="s">
        <v>8</v>
      </c>
      <c r="J52">
        <v>85.2</v>
      </c>
      <c r="K52">
        <v>211</v>
      </c>
      <c r="L52">
        <v>99.973050615595071</v>
      </c>
      <c r="M52">
        <f t="shared" si="0"/>
        <v>1.9998829445370505</v>
      </c>
      <c r="N52">
        <v>4.8953988188140851</v>
      </c>
      <c r="O52">
        <f t="shared" si="1"/>
        <v>4.8940795389682492</v>
      </c>
      <c r="P52">
        <v>0.68620000000000003</v>
      </c>
      <c r="Q52">
        <v>2.0226000000000002</v>
      </c>
      <c r="R52">
        <v>6.59</v>
      </c>
    </row>
    <row r="53" spans="1:18" x14ac:dyDescent="0.55000000000000004">
      <c r="A53">
        <v>212</v>
      </c>
      <c r="B53" t="s">
        <v>20</v>
      </c>
      <c r="C53" t="s">
        <v>31</v>
      </c>
      <c r="D53" t="s">
        <v>1</v>
      </c>
      <c r="E53">
        <v>10</v>
      </c>
      <c r="F53">
        <v>1</v>
      </c>
      <c r="G53">
        <v>1</v>
      </c>
      <c r="H53">
        <v>0.1</v>
      </c>
      <c r="I53" t="s">
        <v>8</v>
      </c>
      <c r="J53">
        <v>87</v>
      </c>
      <c r="K53">
        <v>212</v>
      </c>
      <c r="L53">
        <v>102.37757909215955</v>
      </c>
      <c r="M53">
        <f t="shared" si="0"/>
        <v>2.0102048556366996</v>
      </c>
      <c r="N53">
        <v>2.7426276953318345</v>
      </c>
      <c r="O53">
        <f t="shared" si="1"/>
        <v>2.8078358379918216</v>
      </c>
      <c r="P53">
        <v>0.68440000000000001</v>
      </c>
      <c r="Q53">
        <v>2.2793000000000001</v>
      </c>
      <c r="R53">
        <v>6.42</v>
      </c>
    </row>
    <row r="54" spans="1:18" x14ac:dyDescent="0.55000000000000004">
      <c r="A54">
        <v>213</v>
      </c>
      <c r="B54" t="s">
        <v>20</v>
      </c>
      <c r="C54" t="s">
        <v>31</v>
      </c>
      <c r="D54" t="s">
        <v>1</v>
      </c>
      <c r="E54">
        <v>10</v>
      </c>
      <c r="F54">
        <v>1</v>
      </c>
      <c r="G54">
        <v>1</v>
      </c>
      <c r="H54">
        <v>0.1</v>
      </c>
      <c r="I54" t="s">
        <v>8</v>
      </c>
      <c r="J54">
        <v>104.80000000000001</v>
      </c>
      <c r="K54">
        <v>213</v>
      </c>
      <c r="L54">
        <v>121.12984432913269</v>
      </c>
      <c r="M54">
        <f t="shared" si="0"/>
        <v>2.0832511590853686</v>
      </c>
      <c r="N54">
        <v>2.3177020382431648</v>
      </c>
      <c r="O54">
        <f t="shared" si="1"/>
        <v>2.8074288709370809</v>
      </c>
      <c r="P54">
        <v>0.77959999999999996</v>
      </c>
      <c r="Q54">
        <v>2.3168000000000002</v>
      </c>
      <c r="R54">
        <v>6.42</v>
      </c>
    </row>
    <row r="55" spans="1:18" x14ac:dyDescent="0.55000000000000004">
      <c r="A55">
        <v>214</v>
      </c>
      <c r="B55" t="s">
        <v>20</v>
      </c>
      <c r="C55" t="s">
        <v>31</v>
      </c>
      <c r="D55" t="s">
        <v>1</v>
      </c>
      <c r="E55">
        <v>10</v>
      </c>
      <c r="F55">
        <v>1</v>
      </c>
      <c r="G55">
        <v>1</v>
      </c>
      <c r="H55">
        <v>0.1</v>
      </c>
      <c r="I55" t="s">
        <v>8</v>
      </c>
      <c r="J55">
        <v>65.5</v>
      </c>
      <c r="K55">
        <v>214</v>
      </c>
      <c r="L55">
        <v>80.690139237616989</v>
      </c>
      <c r="M55">
        <f t="shared" si="0"/>
        <v>1.9068204648788216</v>
      </c>
      <c r="N55">
        <v>2.6653420108042547</v>
      </c>
      <c r="O55">
        <f t="shared" si="1"/>
        <v>2.1506681796766536</v>
      </c>
      <c r="P55">
        <v>0.53969999999999996</v>
      </c>
      <c r="Q55">
        <v>2.2942</v>
      </c>
      <c r="R55">
        <v>6.46</v>
      </c>
    </row>
    <row r="56" spans="1:18" x14ac:dyDescent="0.55000000000000004">
      <c r="A56">
        <v>215</v>
      </c>
      <c r="B56" t="s">
        <v>20</v>
      </c>
      <c r="C56" t="s">
        <v>31</v>
      </c>
      <c r="D56" t="s">
        <v>1</v>
      </c>
      <c r="E56">
        <v>10</v>
      </c>
      <c r="F56">
        <v>1</v>
      </c>
      <c r="G56">
        <v>1</v>
      </c>
      <c r="H56">
        <v>0.1</v>
      </c>
      <c r="I56" t="s">
        <v>8</v>
      </c>
      <c r="J56">
        <v>101.1</v>
      </c>
      <c r="K56">
        <v>215</v>
      </c>
      <c r="L56">
        <v>118.29701304826284</v>
      </c>
      <c r="M56">
        <f t="shared" si="0"/>
        <v>2.0729737790063401</v>
      </c>
      <c r="N56">
        <v>2.6863942934432483</v>
      </c>
      <c r="O56">
        <f t="shared" si="1"/>
        <v>3.1779242078423477</v>
      </c>
      <c r="P56">
        <v>0.74429999999999996</v>
      </c>
      <c r="Q56">
        <v>1.6053999999999999</v>
      </c>
      <c r="R56">
        <v>6.5</v>
      </c>
    </row>
    <row r="57" spans="1:18" x14ac:dyDescent="0.55000000000000004">
      <c r="A57">
        <v>216</v>
      </c>
      <c r="B57" t="s">
        <v>21</v>
      </c>
      <c r="C57" t="s">
        <v>31</v>
      </c>
      <c r="D57" t="s">
        <v>3</v>
      </c>
      <c r="E57">
        <v>1000</v>
      </c>
      <c r="F57">
        <v>3</v>
      </c>
      <c r="G57">
        <v>3</v>
      </c>
      <c r="H57">
        <v>1E-3</v>
      </c>
      <c r="I57" t="s">
        <v>8</v>
      </c>
      <c r="J57">
        <v>70.3</v>
      </c>
      <c r="K57">
        <v>216</v>
      </c>
      <c r="L57">
        <v>86.253633594429942</v>
      </c>
      <c r="M57">
        <f t="shared" si="0"/>
        <v>1.9357773995919296</v>
      </c>
      <c r="N57">
        <v>3.5708483134988782</v>
      </c>
      <c r="O57">
        <f t="shared" si="1"/>
        <v>3.0799864205382037</v>
      </c>
      <c r="P57">
        <v>0.56389999999999996</v>
      </c>
      <c r="Q57">
        <v>0.95250000000000001</v>
      </c>
      <c r="R57">
        <v>6.19</v>
      </c>
    </row>
    <row r="58" spans="1:18" x14ac:dyDescent="0.55000000000000004">
      <c r="A58">
        <v>217</v>
      </c>
      <c r="B58" t="s">
        <v>21</v>
      </c>
      <c r="C58" t="s">
        <v>31</v>
      </c>
      <c r="D58" t="s">
        <v>3</v>
      </c>
      <c r="E58">
        <v>1000</v>
      </c>
      <c r="F58">
        <v>3</v>
      </c>
      <c r="G58">
        <v>3</v>
      </c>
      <c r="H58">
        <v>1E-3</v>
      </c>
      <c r="I58" t="s">
        <v>8</v>
      </c>
      <c r="J58">
        <v>45.400000000000006</v>
      </c>
      <c r="K58">
        <v>217</v>
      </c>
      <c r="L58">
        <v>60.79561805101374</v>
      </c>
      <c r="M58">
        <f t="shared" si="0"/>
        <v>1.78387227787724</v>
      </c>
      <c r="N58">
        <v>2.5014889942715381</v>
      </c>
      <c r="O58">
        <f t="shared" si="1"/>
        <v>1.5207956945454693</v>
      </c>
      <c r="P58">
        <v>0.40949999999999998</v>
      </c>
      <c r="Q58">
        <v>1.2081</v>
      </c>
      <c r="R58">
        <v>5.89</v>
      </c>
    </row>
    <row r="59" spans="1:18" x14ac:dyDescent="0.55000000000000004">
      <c r="A59">
        <v>218</v>
      </c>
      <c r="B59" t="s">
        <v>21</v>
      </c>
      <c r="C59" t="s">
        <v>31</v>
      </c>
      <c r="D59" t="s">
        <v>3</v>
      </c>
      <c r="E59">
        <v>1000</v>
      </c>
      <c r="F59">
        <v>3</v>
      </c>
      <c r="G59">
        <v>3</v>
      </c>
      <c r="H59">
        <v>1E-3</v>
      </c>
      <c r="I59" t="s">
        <v>8</v>
      </c>
      <c r="J59">
        <v>25.2</v>
      </c>
      <c r="K59">
        <v>218</v>
      </c>
      <c r="L59">
        <v>38.965517241379317</v>
      </c>
      <c r="M59">
        <f t="shared" si="0"/>
        <v>1.5906804455844636</v>
      </c>
      <c r="N59">
        <v>2.5569067866121369</v>
      </c>
      <c r="O59">
        <f t="shared" si="1"/>
        <v>0.99631195478335011</v>
      </c>
      <c r="P59">
        <v>0.28249999999999997</v>
      </c>
      <c r="Q59">
        <v>0.88580000000000003</v>
      </c>
      <c r="R59">
        <v>6.12</v>
      </c>
    </row>
    <row r="60" spans="1:18" x14ac:dyDescent="0.55000000000000004">
      <c r="A60">
        <v>219</v>
      </c>
      <c r="B60" t="s">
        <v>21</v>
      </c>
      <c r="C60" t="s">
        <v>31</v>
      </c>
      <c r="D60" t="s">
        <v>3</v>
      </c>
      <c r="E60">
        <v>1000</v>
      </c>
      <c r="F60">
        <v>3</v>
      </c>
      <c r="G60">
        <v>3</v>
      </c>
      <c r="H60">
        <v>1E-3</v>
      </c>
      <c r="I60" t="s">
        <v>8</v>
      </c>
      <c r="J60">
        <v>62.5</v>
      </c>
      <c r="K60">
        <v>219</v>
      </c>
      <c r="L60">
        <v>79.795070988481115</v>
      </c>
      <c r="M60">
        <f t="shared" si="0"/>
        <v>1.9019760654282081</v>
      </c>
      <c r="N60">
        <v>2.6720639906934349</v>
      </c>
      <c r="O60">
        <f t="shared" si="1"/>
        <v>2.1321753582314678</v>
      </c>
      <c r="P60">
        <v>0.47660000000000002</v>
      </c>
      <c r="Q60">
        <v>1.2315</v>
      </c>
      <c r="R60">
        <v>6</v>
      </c>
    </row>
    <row r="61" spans="1:18" x14ac:dyDescent="0.55000000000000004">
      <c r="A61">
        <v>220</v>
      </c>
      <c r="B61" t="s">
        <v>21</v>
      </c>
      <c r="C61" t="s">
        <v>31</v>
      </c>
      <c r="D61" t="s">
        <v>3</v>
      </c>
      <c r="E61">
        <v>1000</v>
      </c>
      <c r="F61">
        <v>3</v>
      </c>
      <c r="G61">
        <v>3</v>
      </c>
      <c r="H61">
        <v>1E-3</v>
      </c>
      <c r="I61" t="s">
        <v>8</v>
      </c>
      <c r="J61">
        <v>62.4</v>
      </c>
      <c r="K61">
        <v>220</v>
      </c>
      <c r="L61">
        <v>78.591253644314861</v>
      </c>
      <c r="M61">
        <f t="shared" si="0"/>
        <v>1.8953742164545655</v>
      </c>
      <c r="N61">
        <v>3.2110379290829716</v>
      </c>
      <c r="O61">
        <f t="shared" si="1"/>
        <v>2.5235949634607535</v>
      </c>
      <c r="P61">
        <v>0.51839999999999997</v>
      </c>
      <c r="Q61">
        <v>1.1194</v>
      </c>
      <c r="R61">
        <v>6.09</v>
      </c>
    </row>
    <row r="62" spans="1:18" x14ac:dyDescent="0.55000000000000004">
      <c r="A62">
        <v>221</v>
      </c>
      <c r="B62" t="s">
        <v>22</v>
      </c>
      <c r="C62" t="s">
        <v>31</v>
      </c>
      <c r="D62" t="s">
        <v>4</v>
      </c>
      <c r="E62">
        <v>100000</v>
      </c>
      <c r="F62">
        <v>5</v>
      </c>
      <c r="G62">
        <v>5</v>
      </c>
      <c r="H62">
        <v>1.0000000000000001E-5</v>
      </c>
      <c r="I62" t="s">
        <v>8</v>
      </c>
      <c r="J62">
        <v>84.5</v>
      </c>
      <c r="K62">
        <v>221</v>
      </c>
      <c r="L62">
        <v>97.736183206106887</v>
      </c>
      <c r="M62">
        <f t="shared" si="0"/>
        <v>1.9900553749531265</v>
      </c>
      <c r="N62">
        <v>4.5942988406587117</v>
      </c>
      <c r="O62">
        <f t="shared" si="1"/>
        <v>4.4902923319422428</v>
      </c>
      <c r="P62">
        <v>0.75760000000000005</v>
      </c>
      <c r="Q62">
        <v>1.0697000000000001</v>
      </c>
      <c r="R62">
        <v>6.4</v>
      </c>
    </row>
    <row r="63" spans="1:18" x14ac:dyDescent="0.55000000000000004">
      <c r="A63">
        <v>222</v>
      </c>
      <c r="B63" t="s">
        <v>22</v>
      </c>
      <c r="C63" t="s">
        <v>31</v>
      </c>
      <c r="D63" t="s">
        <v>4</v>
      </c>
      <c r="E63">
        <v>100000</v>
      </c>
      <c r="F63">
        <v>5</v>
      </c>
      <c r="G63">
        <v>5</v>
      </c>
      <c r="H63">
        <v>1.0000000000000001E-5</v>
      </c>
      <c r="I63" t="s">
        <v>8</v>
      </c>
      <c r="J63">
        <v>57.3</v>
      </c>
      <c r="K63">
        <v>222</v>
      </c>
      <c r="L63">
        <v>71.025903218743153</v>
      </c>
      <c r="M63">
        <f t="shared" si="0"/>
        <v>1.8514167652449831</v>
      </c>
      <c r="N63">
        <v>5.3466335037710602</v>
      </c>
      <c r="O63">
        <f t="shared" si="1"/>
        <v>3.7974947378493291</v>
      </c>
      <c r="P63">
        <v>0.56610000000000005</v>
      </c>
      <c r="Q63">
        <v>0.85070000000000001</v>
      </c>
      <c r="R63">
        <v>6.29</v>
      </c>
    </row>
    <row r="64" spans="1:18" x14ac:dyDescent="0.55000000000000004">
      <c r="A64">
        <v>223</v>
      </c>
      <c r="B64" t="s">
        <v>22</v>
      </c>
      <c r="C64" t="s">
        <v>31</v>
      </c>
      <c r="D64" t="s">
        <v>4</v>
      </c>
      <c r="E64">
        <v>100000</v>
      </c>
      <c r="F64">
        <v>5</v>
      </c>
      <c r="G64">
        <v>5</v>
      </c>
      <c r="H64">
        <v>1.0000000000000001E-5</v>
      </c>
      <c r="I64" t="s">
        <v>8</v>
      </c>
      <c r="J64">
        <v>42.6</v>
      </c>
      <c r="K64">
        <v>223</v>
      </c>
      <c r="L64">
        <v>49.974615095756668</v>
      </c>
      <c r="M64">
        <f t="shared" si="0"/>
        <v>1.6987494578690405</v>
      </c>
      <c r="N64">
        <v>6.2544883042915851</v>
      </c>
      <c r="O64">
        <f t="shared" si="1"/>
        <v>3.1256564562788376</v>
      </c>
      <c r="P64">
        <v>0.31240000000000001</v>
      </c>
      <c r="Q64">
        <v>0.69469999999999998</v>
      </c>
      <c r="R64">
        <v>7.15</v>
      </c>
    </row>
    <row r="65" spans="1:18" x14ac:dyDescent="0.55000000000000004">
      <c r="A65">
        <v>224</v>
      </c>
      <c r="B65" t="s">
        <v>22</v>
      </c>
      <c r="C65" t="s">
        <v>31</v>
      </c>
      <c r="D65" t="s">
        <v>4</v>
      </c>
      <c r="E65">
        <v>100000</v>
      </c>
      <c r="F65">
        <v>5</v>
      </c>
      <c r="G65">
        <v>5</v>
      </c>
      <c r="H65">
        <v>1.0000000000000001E-5</v>
      </c>
      <c r="I65" t="s">
        <v>8</v>
      </c>
      <c r="J65">
        <v>74.899999999999991</v>
      </c>
      <c r="K65">
        <v>224</v>
      </c>
      <c r="L65">
        <v>90.715595444894802</v>
      </c>
      <c r="M65">
        <f t="shared" si="0"/>
        <v>1.957681955565421</v>
      </c>
      <c r="N65">
        <v>4.4919767747207153</v>
      </c>
      <c r="O65">
        <f t="shared" si="1"/>
        <v>4.074923478434278</v>
      </c>
      <c r="P65">
        <v>0.62749999999999995</v>
      </c>
      <c r="Q65">
        <v>0.79459999999999997</v>
      </c>
      <c r="R65">
        <v>6.4</v>
      </c>
    </row>
    <row r="66" spans="1:18" x14ac:dyDescent="0.55000000000000004">
      <c r="A66">
        <v>225</v>
      </c>
      <c r="B66" t="s">
        <v>22</v>
      </c>
      <c r="C66" t="s">
        <v>31</v>
      </c>
      <c r="D66" t="s">
        <v>4</v>
      </c>
      <c r="E66">
        <v>100000</v>
      </c>
      <c r="F66">
        <v>5</v>
      </c>
      <c r="G66">
        <v>5</v>
      </c>
      <c r="H66">
        <v>1.0000000000000001E-5</v>
      </c>
      <c r="I66" t="s">
        <v>8</v>
      </c>
      <c r="J66">
        <v>61.6</v>
      </c>
      <c r="K66">
        <v>225</v>
      </c>
      <c r="L66">
        <v>65.564703206731863</v>
      </c>
      <c r="M66">
        <f t="shared" si="0"/>
        <v>1.8166700996188432</v>
      </c>
      <c r="N66">
        <v>4.770847706675017</v>
      </c>
      <c r="O66">
        <f t="shared" si="1"/>
        <v>3.1279921393266483</v>
      </c>
      <c r="P66">
        <v>0.46800000000000003</v>
      </c>
      <c r="Q66">
        <v>1.401</v>
      </c>
      <c r="R66">
        <v>6.19</v>
      </c>
    </row>
    <row r="67" spans="1:18" x14ac:dyDescent="0.55000000000000004">
      <c r="A67">
        <v>226</v>
      </c>
      <c r="B67" t="s">
        <v>23</v>
      </c>
      <c r="C67" t="s">
        <v>31</v>
      </c>
      <c r="D67" t="s">
        <v>5</v>
      </c>
      <c r="E67">
        <v>10000000</v>
      </c>
      <c r="F67">
        <v>7</v>
      </c>
      <c r="G67">
        <v>7</v>
      </c>
      <c r="H67">
        <v>9.9999999999999995E-8</v>
      </c>
      <c r="I67" t="s">
        <v>8</v>
      </c>
      <c r="J67">
        <v>20.8</v>
      </c>
      <c r="K67">
        <v>226</v>
      </c>
      <c r="L67">
        <v>32.367592592592587</v>
      </c>
      <c r="M67">
        <f t="shared" ref="M67:M101" si="2">LOG(L67)</f>
        <v>1.5101103990431886</v>
      </c>
      <c r="N67">
        <v>1.7030813244146334</v>
      </c>
      <c r="O67">
        <f t="shared" ref="O67:O101" si="3">L67*(N67/100)</f>
        <v>0.55124642460705864</v>
      </c>
      <c r="P67">
        <v>0.26889999999999997</v>
      </c>
      <c r="Q67">
        <v>1.4008</v>
      </c>
      <c r="R67">
        <v>6.49</v>
      </c>
    </row>
    <row r="68" spans="1:18" x14ac:dyDescent="0.55000000000000004">
      <c r="A68">
        <v>227</v>
      </c>
      <c r="B68" t="s">
        <v>23</v>
      </c>
      <c r="C68" t="s">
        <v>31</v>
      </c>
      <c r="D68" t="s">
        <v>5</v>
      </c>
      <c r="E68">
        <v>10000000</v>
      </c>
      <c r="F68">
        <v>7</v>
      </c>
      <c r="G68">
        <v>7</v>
      </c>
      <c r="H68">
        <v>9.9999999999999995E-8</v>
      </c>
      <c r="I68" t="s">
        <v>8</v>
      </c>
      <c r="J68">
        <v>111.3</v>
      </c>
      <c r="K68">
        <v>227</v>
      </c>
      <c r="L68">
        <v>126.81694312796208</v>
      </c>
      <c r="M68">
        <f t="shared" si="2"/>
        <v>2.1031772804811411</v>
      </c>
      <c r="N68">
        <v>3.885563161457696</v>
      </c>
      <c r="O68">
        <f t="shared" si="3"/>
        <v>4.9275524246668514</v>
      </c>
      <c r="P68">
        <v>0.86550000000000005</v>
      </c>
      <c r="Q68">
        <v>1.4331</v>
      </c>
      <c r="R68">
        <v>6.38</v>
      </c>
    </row>
    <row r="69" spans="1:18" x14ac:dyDescent="0.55000000000000004">
      <c r="A69">
        <v>228</v>
      </c>
      <c r="B69" t="s">
        <v>23</v>
      </c>
      <c r="C69" t="s">
        <v>31</v>
      </c>
      <c r="D69" t="s">
        <v>5</v>
      </c>
      <c r="E69">
        <v>10000000</v>
      </c>
      <c r="F69">
        <v>7</v>
      </c>
      <c r="G69">
        <v>7</v>
      </c>
      <c r="H69">
        <v>9.9999999999999995E-8</v>
      </c>
      <c r="I69" t="s">
        <v>8</v>
      </c>
      <c r="J69">
        <v>115.9</v>
      </c>
      <c r="K69">
        <v>228</v>
      </c>
      <c r="L69">
        <v>131.51452220726785</v>
      </c>
      <c r="M69">
        <f t="shared" si="2"/>
        <v>2.1189737115045215</v>
      </c>
      <c r="N69">
        <v>3.0470416324171588</v>
      </c>
      <c r="O69">
        <f t="shared" si="3"/>
        <v>4.0073022443299608</v>
      </c>
      <c r="P69">
        <v>0.84309999999999996</v>
      </c>
      <c r="Q69">
        <v>1.4156</v>
      </c>
      <c r="R69">
        <v>6.43</v>
      </c>
    </row>
    <row r="70" spans="1:18" x14ac:dyDescent="0.55000000000000004">
      <c r="A70">
        <v>229</v>
      </c>
      <c r="B70" t="s">
        <v>23</v>
      </c>
      <c r="C70" t="s">
        <v>31</v>
      </c>
      <c r="D70" t="s">
        <v>5</v>
      </c>
      <c r="E70">
        <v>10000000</v>
      </c>
      <c r="F70">
        <v>7</v>
      </c>
      <c r="G70">
        <v>7</v>
      </c>
      <c r="H70">
        <v>9.9999999999999995E-8</v>
      </c>
      <c r="I70" t="s">
        <v>8</v>
      </c>
      <c r="J70">
        <v>90.5</v>
      </c>
      <c r="K70">
        <v>229</v>
      </c>
      <c r="L70">
        <v>105.04997642621406</v>
      </c>
      <c r="M70">
        <f t="shared" si="2"/>
        <v>2.021395959283939</v>
      </c>
      <c r="N70">
        <v>3.1727380314505735</v>
      </c>
      <c r="O70">
        <f t="shared" si="3"/>
        <v>3.3329605541043552</v>
      </c>
      <c r="P70">
        <v>0.73860000000000003</v>
      </c>
      <c r="Q70">
        <v>1.4126000000000001</v>
      </c>
      <c r="R70">
        <v>6.22</v>
      </c>
    </row>
    <row r="71" spans="1:18" x14ac:dyDescent="0.55000000000000004">
      <c r="A71">
        <v>230</v>
      </c>
      <c r="B71" t="s">
        <v>23</v>
      </c>
      <c r="C71" t="s">
        <v>31</v>
      </c>
      <c r="D71" t="s">
        <v>5</v>
      </c>
      <c r="E71">
        <v>10000000</v>
      </c>
      <c r="F71">
        <v>7</v>
      </c>
      <c r="G71">
        <v>7</v>
      </c>
      <c r="H71">
        <v>9.9999999999999995E-8</v>
      </c>
      <c r="I71" t="s">
        <v>8</v>
      </c>
      <c r="J71">
        <v>41.099999999999994</v>
      </c>
      <c r="K71">
        <v>230</v>
      </c>
      <c r="L71">
        <v>55.638399462004031</v>
      </c>
      <c r="M71">
        <f t="shared" si="2"/>
        <v>1.7453746282427696</v>
      </c>
      <c r="N71">
        <v>2.3812518930675934</v>
      </c>
      <c r="O71">
        <f t="shared" si="3"/>
        <v>1.3248904404614807</v>
      </c>
      <c r="P71">
        <v>0.40260000000000001</v>
      </c>
      <c r="Q71">
        <v>2.3207</v>
      </c>
      <c r="R71">
        <v>6.45</v>
      </c>
    </row>
    <row r="72" spans="1:18" x14ac:dyDescent="0.55000000000000004">
      <c r="A72">
        <v>231</v>
      </c>
      <c r="B72" t="s">
        <v>24</v>
      </c>
      <c r="C72" t="s">
        <v>31</v>
      </c>
      <c r="D72" t="s">
        <v>6</v>
      </c>
      <c r="E72">
        <v>10000000000</v>
      </c>
      <c r="F72">
        <v>10</v>
      </c>
      <c r="G72">
        <v>9</v>
      </c>
      <c r="H72">
        <v>0</v>
      </c>
      <c r="I72" t="s">
        <v>8</v>
      </c>
      <c r="J72">
        <v>33.6</v>
      </c>
      <c r="K72">
        <v>231</v>
      </c>
      <c r="L72">
        <v>46.277966101694908</v>
      </c>
      <c r="M72">
        <f t="shared" si="2"/>
        <v>1.6653742636284381</v>
      </c>
      <c r="N72">
        <v>1.3702853233098169</v>
      </c>
      <c r="O72">
        <f t="shared" si="3"/>
        <v>0.63414017741781747</v>
      </c>
      <c r="P72">
        <v>0.34129999999999999</v>
      </c>
      <c r="Q72">
        <v>1.7534000000000001</v>
      </c>
      <c r="R72">
        <v>6.53</v>
      </c>
    </row>
    <row r="73" spans="1:18" x14ac:dyDescent="0.55000000000000004">
      <c r="A73">
        <v>232</v>
      </c>
      <c r="B73" t="s">
        <v>24</v>
      </c>
      <c r="C73" t="s">
        <v>31</v>
      </c>
      <c r="D73" t="s">
        <v>6</v>
      </c>
      <c r="E73">
        <v>10000000000</v>
      </c>
      <c r="F73">
        <v>10</v>
      </c>
      <c r="G73">
        <v>9</v>
      </c>
      <c r="H73">
        <v>0</v>
      </c>
      <c r="I73" t="s">
        <v>8</v>
      </c>
      <c r="J73">
        <v>55.4</v>
      </c>
      <c r="K73">
        <v>232</v>
      </c>
      <c r="L73">
        <v>68.523274548225558</v>
      </c>
      <c r="M73">
        <f t="shared" si="2"/>
        <v>1.8358381085877649</v>
      </c>
      <c r="N73">
        <v>4.3311116777471206</v>
      </c>
      <c r="O73">
        <f t="shared" si="3"/>
        <v>2.967819545932918</v>
      </c>
      <c r="P73">
        <v>0.56810000000000005</v>
      </c>
      <c r="Q73">
        <v>1.2251000000000001</v>
      </c>
      <c r="R73">
        <v>6.39</v>
      </c>
    </row>
    <row r="74" spans="1:18" x14ac:dyDescent="0.55000000000000004">
      <c r="A74">
        <v>233</v>
      </c>
      <c r="B74" t="s">
        <v>24</v>
      </c>
      <c r="C74" t="s">
        <v>31</v>
      </c>
      <c r="D74" t="s">
        <v>6</v>
      </c>
      <c r="E74">
        <v>10000000000</v>
      </c>
      <c r="F74">
        <v>10</v>
      </c>
      <c r="G74">
        <v>9</v>
      </c>
      <c r="H74">
        <v>0</v>
      </c>
      <c r="I74" t="s">
        <v>8</v>
      </c>
      <c r="J74">
        <v>133.1</v>
      </c>
      <c r="K74">
        <v>233</v>
      </c>
      <c r="L74">
        <v>149.51835986714008</v>
      </c>
      <c r="M74">
        <f t="shared" si="2"/>
        <v>2.1746945244291127</v>
      </c>
      <c r="N74">
        <v>3.514362226630495</v>
      </c>
      <c r="O74">
        <f t="shared" si="3"/>
        <v>5.2546167610482204</v>
      </c>
      <c r="P74">
        <v>0.98080000000000001</v>
      </c>
      <c r="Q74">
        <v>1.5344</v>
      </c>
      <c r="R74">
        <v>6.09</v>
      </c>
    </row>
    <row r="75" spans="1:18" x14ac:dyDescent="0.55000000000000004">
      <c r="A75">
        <v>234</v>
      </c>
      <c r="B75" t="s">
        <v>24</v>
      </c>
      <c r="C75" t="s">
        <v>31</v>
      </c>
      <c r="D75" t="s">
        <v>6</v>
      </c>
      <c r="E75">
        <v>10000000000</v>
      </c>
      <c r="F75">
        <v>10</v>
      </c>
      <c r="G75">
        <v>9</v>
      </c>
      <c r="H75">
        <v>0</v>
      </c>
      <c r="I75" t="s">
        <v>8</v>
      </c>
      <c r="J75">
        <v>23.599999999999998</v>
      </c>
      <c r="K75">
        <v>234</v>
      </c>
      <c r="L75">
        <v>36.576164680390029</v>
      </c>
      <c r="M75">
        <f t="shared" si="2"/>
        <v>1.563198164085476</v>
      </c>
      <c r="N75">
        <v>1.9006915947415191</v>
      </c>
      <c r="O75">
        <f t="shared" si="3"/>
        <v>0.69520008775898945</v>
      </c>
      <c r="P75">
        <v>0.28610000000000002</v>
      </c>
      <c r="Q75">
        <v>1.7879</v>
      </c>
      <c r="R75">
        <v>6.48</v>
      </c>
    </row>
    <row r="76" spans="1:18" x14ac:dyDescent="0.55000000000000004">
      <c r="A76">
        <v>235</v>
      </c>
      <c r="B76" t="s">
        <v>24</v>
      </c>
      <c r="C76" t="s">
        <v>31</v>
      </c>
      <c r="D76" t="s">
        <v>6</v>
      </c>
      <c r="E76">
        <v>10000000000</v>
      </c>
      <c r="F76">
        <v>10</v>
      </c>
      <c r="G76">
        <v>9</v>
      </c>
      <c r="H76">
        <v>0</v>
      </c>
      <c r="I76" t="s">
        <v>8</v>
      </c>
      <c r="J76">
        <v>90.2</v>
      </c>
      <c r="K76">
        <v>235</v>
      </c>
      <c r="L76">
        <v>105.9013698630137</v>
      </c>
      <c r="M76">
        <f t="shared" si="2"/>
        <v>2.0249015778610264</v>
      </c>
      <c r="N76">
        <v>2.6207791721806433</v>
      </c>
      <c r="O76">
        <f t="shared" si="3"/>
        <v>2.7754410444238515</v>
      </c>
      <c r="P76">
        <v>0.70279999999999998</v>
      </c>
      <c r="Q76">
        <v>2.048</v>
      </c>
      <c r="R76">
        <v>6.17</v>
      </c>
    </row>
    <row r="77" spans="1:18" x14ac:dyDescent="0.55000000000000004">
      <c r="A77">
        <v>236</v>
      </c>
      <c r="B77" t="s">
        <v>25</v>
      </c>
      <c r="C77" t="s">
        <v>33</v>
      </c>
      <c r="D77" t="s">
        <v>1</v>
      </c>
      <c r="E77">
        <v>10</v>
      </c>
      <c r="F77">
        <v>1</v>
      </c>
      <c r="G77">
        <v>1</v>
      </c>
      <c r="H77">
        <v>0.1</v>
      </c>
      <c r="I77" t="s">
        <v>8</v>
      </c>
      <c r="J77">
        <v>97.9</v>
      </c>
      <c r="K77">
        <v>236</v>
      </c>
      <c r="L77">
        <v>115.27849500087703</v>
      </c>
      <c r="M77">
        <f t="shared" si="2"/>
        <v>2.0617482979839261</v>
      </c>
      <c r="N77">
        <v>1.1898627274901257</v>
      </c>
      <c r="O77">
        <f t="shared" si="3"/>
        <v>1.3716558448270035</v>
      </c>
      <c r="P77">
        <v>0.67130000000000001</v>
      </c>
      <c r="Q77">
        <v>1.3902000000000001</v>
      </c>
      <c r="R77">
        <v>6.61</v>
      </c>
    </row>
    <row r="78" spans="1:18" x14ac:dyDescent="0.55000000000000004">
      <c r="A78">
        <v>237</v>
      </c>
      <c r="B78" t="s">
        <v>25</v>
      </c>
      <c r="C78" t="s">
        <v>33</v>
      </c>
      <c r="D78" t="s">
        <v>1</v>
      </c>
      <c r="E78">
        <v>10</v>
      </c>
      <c r="F78">
        <v>1</v>
      </c>
      <c r="G78">
        <v>1</v>
      </c>
      <c r="H78">
        <v>0.1</v>
      </c>
      <c r="I78" t="s">
        <v>8</v>
      </c>
      <c r="J78">
        <v>93.3</v>
      </c>
      <c r="K78">
        <v>237</v>
      </c>
      <c r="L78">
        <v>109.50363258951738</v>
      </c>
      <c r="M78">
        <f t="shared" si="2"/>
        <v>2.0394285263671406</v>
      </c>
      <c r="N78">
        <v>1.2937337669230755</v>
      </c>
      <c r="O78">
        <f t="shared" si="3"/>
        <v>1.4166854708179677</v>
      </c>
      <c r="P78">
        <v>0.67849999999999999</v>
      </c>
      <c r="Q78">
        <v>1.9053</v>
      </c>
      <c r="R78">
        <v>7.09</v>
      </c>
    </row>
    <row r="79" spans="1:18" x14ac:dyDescent="0.55000000000000004">
      <c r="A79">
        <v>238</v>
      </c>
      <c r="B79" t="s">
        <v>25</v>
      </c>
      <c r="C79" t="s">
        <v>33</v>
      </c>
      <c r="D79" t="s">
        <v>1</v>
      </c>
      <c r="E79">
        <v>10</v>
      </c>
      <c r="F79">
        <v>1</v>
      </c>
      <c r="G79">
        <v>1</v>
      </c>
      <c r="H79">
        <v>0.1</v>
      </c>
      <c r="I79" t="s">
        <v>8</v>
      </c>
      <c r="J79">
        <v>82.4</v>
      </c>
      <c r="K79">
        <v>238</v>
      </c>
      <c r="L79">
        <v>98.182662422767265</v>
      </c>
      <c r="M79">
        <f t="shared" si="2"/>
        <v>1.9920348047025225</v>
      </c>
      <c r="N79">
        <v>1.2920375741654979</v>
      </c>
      <c r="O79">
        <f t="shared" si="3"/>
        <v>1.268556889818222</v>
      </c>
      <c r="P79">
        <v>0.63639999999999997</v>
      </c>
      <c r="Q79">
        <v>1.4662999999999999</v>
      </c>
      <c r="R79">
        <v>6.94</v>
      </c>
    </row>
    <row r="80" spans="1:18" x14ac:dyDescent="0.55000000000000004">
      <c r="A80">
        <v>239</v>
      </c>
      <c r="B80" t="s">
        <v>25</v>
      </c>
      <c r="C80" t="s">
        <v>33</v>
      </c>
      <c r="D80" t="s">
        <v>1</v>
      </c>
      <c r="E80">
        <v>10</v>
      </c>
      <c r="F80">
        <v>1</v>
      </c>
      <c r="G80">
        <v>1</v>
      </c>
      <c r="H80">
        <v>0.1</v>
      </c>
      <c r="I80" t="s">
        <v>8</v>
      </c>
      <c r="J80">
        <v>63.1</v>
      </c>
      <c r="K80">
        <v>239</v>
      </c>
      <c r="L80">
        <v>78.832912927479995</v>
      </c>
      <c r="M80">
        <f t="shared" si="2"/>
        <v>1.8967075743233548</v>
      </c>
      <c r="N80">
        <v>2.1386524120332067</v>
      </c>
      <c r="O80">
        <f t="shared" si="3"/>
        <v>1.6859619937995887</v>
      </c>
      <c r="P80">
        <v>0.5151</v>
      </c>
      <c r="Q80">
        <v>1.1758999999999999</v>
      </c>
      <c r="R80">
        <v>6.9</v>
      </c>
    </row>
    <row r="81" spans="1:18" x14ac:dyDescent="0.55000000000000004">
      <c r="A81">
        <v>240</v>
      </c>
      <c r="B81" t="s">
        <v>25</v>
      </c>
      <c r="C81" t="s">
        <v>33</v>
      </c>
      <c r="D81" t="s">
        <v>1</v>
      </c>
      <c r="E81">
        <v>10</v>
      </c>
      <c r="F81">
        <v>1</v>
      </c>
      <c r="G81">
        <v>1</v>
      </c>
      <c r="H81">
        <v>0.1</v>
      </c>
      <c r="I81" t="s">
        <v>8</v>
      </c>
      <c r="J81">
        <v>130.39999999999998</v>
      </c>
      <c r="K81">
        <v>240</v>
      </c>
      <c r="L81">
        <v>149.04862101439525</v>
      </c>
      <c r="M81">
        <f t="shared" si="2"/>
        <v>2.1733279623303456</v>
      </c>
      <c r="N81">
        <v>1.4191193012907457</v>
      </c>
      <c r="O81">
        <f t="shared" si="3"/>
        <v>2.1151777491229775</v>
      </c>
      <c r="P81">
        <v>0.84960000000000002</v>
      </c>
      <c r="Q81">
        <v>1.7644</v>
      </c>
      <c r="R81">
        <v>6.68</v>
      </c>
    </row>
    <row r="82" spans="1:18" x14ac:dyDescent="0.55000000000000004">
      <c r="A82">
        <v>241</v>
      </c>
      <c r="B82" t="s">
        <v>26</v>
      </c>
      <c r="C82" t="s">
        <v>33</v>
      </c>
      <c r="D82" t="s">
        <v>3</v>
      </c>
      <c r="E82">
        <v>1000</v>
      </c>
      <c r="F82">
        <v>3</v>
      </c>
      <c r="G82">
        <v>3</v>
      </c>
      <c r="H82">
        <v>1E-3</v>
      </c>
      <c r="I82" t="s">
        <v>8</v>
      </c>
      <c r="J82">
        <v>69.3</v>
      </c>
      <c r="K82">
        <v>241</v>
      </c>
      <c r="L82">
        <v>83.848768161718255</v>
      </c>
      <c r="M82">
        <f t="shared" si="2"/>
        <v>1.923496686685717</v>
      </c>
      <c r="N82">
        <v>1.2543436741951861</v>
      </c>
      <c r="O82">
        <f t="shared" si="3"/>
        <v>1.0517517193271002</v>
      </c>
      <c r="P82">
        <v>0.5746</v>
      </c>
      <c r="Q82">
        <v>1.0948</v>
      </c>
      <c r="R82">
        <v>6.88</v>
      </c>
    </row>
    <row r="83" spans="1:18" x14ac:dyDescent="0.55000000000000004">
      <c r="A83">
        <v>242</v>
      </c>
      <c r="B83" t="s">
        <v>26</v>
      </c>
      <c r="C83" t="s">
        <v>33</v>
      </c>
      <c r="D83" t="s">
        <v>3</v>
      </c>
      <c r="E83">
        <v>1000</v>
      </c>
      <c r="F83">
        <v>3</v>
      </c>
      <c r="G83">
        <v>3</v>
      </c>
      <c r="H83">
        <v>1E-3</v>
      </c>
      <c r="I83" t="s">
        <v>8</v>
      </c>
      <c r="J83">
        <v>72.5</v>
      </c>
      <c r="K83">
        <v>242</v>
      </c>
      <c r="L83">
        <v>88.815247996534538</v>
      </c>
      <c r="M83">
        <f t="shared" si="2"/>
        <v>1.9484875328086955</v>
      </c>
      <c r="N83">
        <v>1.4537622039999416</v>
      </c>
      <c r="O83">
        <f t="shared" si="3"/>
        <v>1.2911625067624344</v>
      </c>
      <c r="P83">
        <v>0.56559999999999999</v>
      </c>
      <c r="Q83">
        <v>1.3216000000000001</v>
      </c>
      <c r="R83">
        <v>6.72</v>
      </c>
    </row>
    <row r="84" spans="1:18" x14ac:dyDescent="0.55000000000000004">
      <c r="A84">
        <v>243</v>
      </c>
      <c r="B84" t="s">
        <v>26</v>
      </c>
      <c r="C84" t="s">
        <v>33</v>
      </c>
      <c r="D84" t="s">
        <v>3</v>
      </c>
      <c r="E84">
        <v>1000</v>
      </c>
      <c r="F84">
        <v>3</v>
      </c>
      <c r="G84">
        <v>3</v>
      </c>
      <c r="H84">
        <v>1E-3</v>
      </c>
      <c r="I84" t="s">
        <v>8</v>
      </c>
      <c r="J84">
        <v>72.3</v>
      </c>
      <c r="K84">
        <v>243</v>
      </c>
      <c r="L84">
        <v>88.036135957066193</v>
      </c>
      <c r="M84">
        <f t="shared" si="2"/>
        <v>1.9446609724393364</v>
      </c>
      <c r="N84">
        <v>2.2334616064000454</v>
      </c>
      <c r="O84">
        <f t="shared" si="3"/>
        <v>1.9662532963592187</v>
      </c>
      <c r="P84">
        <v>0.61260000000000003</v>
      </c>
      <c r="Q84">
        <v>0.98560000000000003</v>
      </c>
      <c r="R84">
        <v>6.83</v>
      </c>
    </row>
    <row r="85" spans="1:18" x14ac:dyDescent="0.55000000000000004">
      <c r="A85">
        <v>244</v>
      </c>
      <c r="B85" t="s">
        <v>26</v>
      </c>
      <c r="C85" t="s">
        <v>33</v>
      </c>
      <c r="D85" t="s">
        <v>3</v>
      </c>
      <c r="E85">
        <v>1000</v>
      </c>
      <c r="F85">
        <v>3</v>
      </c>
      <c r="G85">
        <v>3</v>
      </c>
      <c r="H85">
        <v>1E-3</v>
      </c>
      <c r="I85" t="s">
        <v>8</v>
      </c>
      <c r="J85">
        <v>85.5</v>
      </c>
      <c r="K85">
        <v>244</v>
      </c>
      <c r="L85">
        <v>102.58122941822174</v>
      </c>
      <c r="M85">
        <f t="shared" si="2"/>
        <v>2.011067899704877</v>
      </c>
      <c r="N85">
        <v>1.2663898133742242</v>
      </c>
      <c r="O85">
        <f t="shared" si="3"/>
        <v>1.2990782397864029</v>
      </c>
      <c r="P85">
        <v>0.65580000000000005</v>
      </c>
      <c r="Q85">
        <v>1.5085</v>
      </c>
      <c r="R85">
        <v>6.79</v>
      </c>
    </row>
    <row r="86" spans="1:18" x14ac:dyDescent="0.55000000000000004">
      <c r="A86">
        <v>245</v>
      </c>
      <c r="B86" t="s">
        <v>26</v>
      </c>
      <c r="C86" t="s">
        <v>33</v>
      </c>
      <c r="D86" t="s">
        <v>3</v>
      </c>
      <c r="E86">
        <v>1000</v>
      </c>
      <c r="F86">
        <v>3</v>
      </c>
      <c r="G86">
        <v>3</v>
      </c>
      <c r="H86">
        <v>1E-3</v>
      </c>
      <c r="I86" t="s">
        <v>8</v>
      </c>
      <c r="J86">
        <v>78.8</v>
      </c>
      <c r="K86">
        <v>245</v>
      </c>
      <c r="L86">
        <v>94.630493971217419</v>
      </c>
      <c r="M86">
        <f t="shared" si="2"/>
        <v>1.9760311071144168</v>
      </c>
      <c r="N86">
        <v>1.4962247584160493</v>
      </c>
      <c r="O86">
        <f t="shared" si="3"/>
        <v>1.4158848798087618</v>
      </c>
      <c r="P86">
        <v>0.61750000000000005</v>
      </c>
      <c r="Q86">
        <v>1.8586</v>
      </c>
      <c r="R86">
        <v>6.86</v>
      </c>
    </row>
    <row r="87" spans="1:18" x14ac:dyDescent="0.55000000000000004">
      <c r="A87">
        <v>246</v>
      </c>
      <c r="B87" t="s">
        <v>27</v>
      </c>
      <c r="C87" t="s">
        <v>33</v>
      </c>
      <c r="D87" t="s">
        <v>4</v>
      </c>
      <c r="E87">
        <v>100000</v>
      </c>
      <c r="F87">
        <v>5</v>
      </c>
      <c r="G87">
        <v>5</v>
      </c>
      <c r="H87">
        <v>1.0000000000000001E-5</v>
      </c>
      <c r="I87" t="s">
        <v>8</v>
      </c>
      <c r="J87">
        <v>84.8</v>
      </c>
      <c r="K87">
        <v>246</v>
      </c>
      <c r="L87">
        <v>101.45107468123862</v>
      </c>
      <c r="M87">
        <f t="shared" si="2"/>
        <v>2.0062566519180063</v>
      </c>
      <c r="N87">
        <v>1.40735069594607</v>
      </c>
      <c r="O87">
        <f t="shared" si="3"/>
        <v>1.4277724055711789</v>
      </c>
      <c r="P87">
        <v>0.65680000000000005</v>
      </c>
      <c r="Q87">
        <v>1.7790999999999999</v>
      </c>
      <c r="R87">
        <v>6.83</v>
      </c>
    </row>
    <row r="88" spans="1:18" x14ac:dyDescent="0.55000000000000004">
      <c r="A88">
        <v>247</v>
      </c>
      <c r="B88" t="s">
        <v>27</v>
      </c>
      <c r="C88" t="s">
        <v>33</v>
      </c>
      <c r="D88" t="s">
        <v>4</v>
      </c>
      <c r="E88">
        <v>100000</v>
      </c>
      <c r="F88">
        <v>5</v>
      </c>
      <c r="G88">
        <v>5</v>
      </c>
      <c r="H88">
        <v>1.0000000000000001E-5</v>
      </c>
      <c r="I88" t="s">
        <v>8</v>
      </c>
      <c r="J88">
        <v>73.5</v>
      </c>
      <c r="K88">
        <v>247</v>
      </c>
      <c r="L88">
        <v>89.531396713615024</v>
      </c>
      <c r="M88">
        <f t="shared" si="2"/>
        <v>1.9519753596552512</v>
      </c>
      <c r="N88">
        <v>1.6632689315006988</v>
      </c>
      <c r="O88">
        <f t="shared" si="3"/>
        <v>1.4891479054761965</v>
      </c>
      <c r="P88">
        <v>0.62270000000000003</v>
      </c>
      <c r="Q88">
        <v>1.4019999999999999</v>
      </c>
      <c r="R88">
        <v>6.85</v>
      </c>
    </row>
    <row r="89" spans="1:18" x14ac:dyDescent="0.55000000000000004">
      <c r="A89">
        <v>248</v>
      </c>
      <c r="B89" t="s">
        <v>27</v>
      </c>
      <c r="C89" t="s">
        <v>33</v>
      </c>
      <c r="D89" t="s">
        <v>4</v>
      </c>
      <c r="E89">
        <v>100000</v>
      </c>
      <c r="F89">
        <v>5</v>
      </c>
      <c r="G89">
        <v>5</v>
      </c>
      <c r="H89">
        <v>1.0000000000000001E-5</v>
      </c>
      <c r="I89" t="s">
        <v>8</v>
      </c>
      <c r="J89">
        <v>77.5</v>
      </c>
      <c r="K89">
        <v>248</v>
      </c>
      <c r="L89">
        <v>94.268097052336074</v>
      </c>
      <c r="M89">
        <f t="shared" si="2"/>
        <v>1.9743647402625919</v>
      </c>
      <c r="N89">
        <v>1.71122509579043</v>
      </c>
      <c r="O89">
        <f t="shared" si="3"/>
        <v>1.6131393340836535</v>
      </c>
      <c r="P89">
        <v>0.60660000000000003</v>
      </c>
      <c r="Q89">
        <v>1.9392</v>
      </c>
      <c r="R89">
        <v>6.9</v>
      </c>
    </row>
    <row r="90" spans="1:18" x14ac:dyDescent="0.55000000000000004">
      <c r="A90">
        <v>249</v>
      </c>
      <c r="B90" t="s">
        <v>27</v>
      </c>
      <c r="C90" t="s">
        <v>33</v>
      </c>
      <c r="D90" t="s">
        <v>4</v>
      </c>
      <c r="E90">
        <v>100000</v>
      </c>
      <c r="F90">
        <v>5</v>
      </c>
      <c r="G90">
        <v>5</v>
      </c>
      <c r="H90">
        <v>1.0000000000000001E-5</v>
      </c>
      <c r="I90" t="s">
        <v>8</v>
      </c>
      <c r="J90">
        <v>78.7</v>
      </c>
      <c r="K90">
        <v>249</v>
      </c>
      <c r="L90">
        <v>93.893966817496235</v>
      </c>
      <c r="M90">
        <f t="shared" si="2"/>
        <v>1.972637687451968</v>
      </c>
      <c r="N90">
        <v>1.7193490344248357</v>
      </c>
      <c r="O90">
        <f t="shared" si="3"/>
        <v>1.6143650118597972</v>
      </c>
      <c r="P90">
        <v>0.63280000000000003</v>
      </c>
      <c r="Q90">
        <v>1.3587</v>
      </c>
      <c r="R90">
        <v>6.71</v>
      </c>
    </row>
    <row r="91" spans="1:18" x14ac:dyDescent="0.55000000000000004">
      <c r="A91">
        <v>250</v>
      </c>
      <c r="B91" t="s">
        <v>27</v>
      </c>
      <c r="C91" t="s">
        <v>33</v>
      </c>
      <c r="D91" t="s">
        <v>4</v>
      </c>
      <c r="E91">
        <v>100000</v>
      </c>
      <c r="F91">
        <v>5</v>
      </c>
      <c r="G91">
        <v>5</v>
      </c>
      <c r="H91">
        <v>1.0000000000000001E-5</v>
      </c>
      <c r="I91" t="s">
        <v>8</v>
      </c>
      <c r="J91">
        <v>70.5</v>
      </c>
      <c r="K91">
        <v>250</v>
      </c>
      <c r="L91">
        <v>85.533949335548172</v>
      </c>
      <c r="M91">
        <f t="shared" si="2"/>
        <v>1.9321385250518981</v>
      </c>
      <c r="N91">
        <v>1.8903028327036169</v>
      </c>
      <c r="O91">
        <f t="shared" si="3"/>
        <v>1.6168506672131435</v>
      </c>
      <c r="P91">
        <v>0.58430000000000004</v>
      </c>
      <c r="Q91">
        <v>1.3442000000000001</v>
      </c>
      <c r="R91">
        <v>6.85</v>
      </c>
    </row>
    <row r="92" spans="1:18" x14ac:dyDescent="0.55000000000000004">
      <c r="A92">
        <v>251</v>
      </c>
      <c r="B92" t="s">
        <v>28</v>
      </c>
      <c r="C92" t="s">
        <v>33</v>
      </c>
      <c r="D92" t="s">
        <v>5</v>
      </c>
      <c r="E92">
        <v>10000000</v>
      </c>
      <c r="F92">
        <v>7</v>
      </c>
      <c r="G92">
        <v>7</v>
      </c>
      <c r="H92">
        <v>9.9999999999999995E-8</v>
      </c>
      <c r="I92" t="s">
        <v>8</v>
      </c>
      <c r="J92">
        <v>63.9</v>
      </c>
      <c r="K92">
        <v>251</v>
      </c>
      <c r="L92">
        <v>78.428431158629706</v>
      </c>
      <c r="M92">
        <f t="shared" si="2"/>
        <v>1.8944735276970135</v>
      </c>
      <c r="N92">
        <v>1.6791663763457425</v>
      </c>
      <c r="O92">
        <f t="shared" si="3"/>
        <v>1.3169438455111775</v>
      </c>
      <c r="P92">
        <v>0.5625</v>
      </c>
      <c r="Q92">
        <v>1.9251</v>
      </c>
      <c r="R92">
        <v>6.8</v>
      </c>
    </row>
    <row r="93" spans="1:18" x14ac:dyDescent="0.55000000000000004">
      <c r="A93">
        <v>252</v>
      </c>
      <c r="B93" t="s">
        <v>28</v>
      </c>
      <c r="C93" t="s">
        <v>33</v>
      </c>
      <c r="D93" t="s">
        <v>5</v>
      </c>
      <c r="E93">
        <v>10000000</v>
      </c>
      <c r="F93">
        <v>7</v>
      </c>
      <c r="G93">
        <v>7</v>
      </c>
      <c r="H93">
        <v>9.9999999999999995E-8</v>
      </c>
      <c r="I93" t="s">
        <v>8</v>
      </c>
      <c r="J93">
        <v>86.8</v>
      </c>
      <c r="K93">
        <v>252</v>
      </c>
      <c r="L93">
        <v>102.59586894586894</v>
      </c>
      <c r="M93">
        <f t="shared" si="2"/>
        <v>2.0111298741273282</v>
      </c>
      <c r="N93">
        <v>1.2839719352497196</v>
      </c>
      <c r="O93">
        <f t="shared" si="3"/>
        <v>1.3173021639905396</v>
      </c>
      <c r="P93">
        <v>0.66379999999999995</v>
      </c>
      <c r="Q93">
        <v>1.8351</v>
      </c>
      <c r="R93">
        <v>6.91</v>
      </c>
    </row>
    <row r="94" spans="1:18" x14ac:dyDescent="0.55000000000000004">
      <c r="A94">
        <v>253</v>
      </c>
      <c r="B94" t="s">
        <v>28</v>
      </c>
      <c r="C94" t="s">
        <v>33</v>
      </c>
      <c r="D94" t="s">
        <v>5</v>
      </c>
      <c r="E94">
        <v>10000000</v>
      </c>
      <c r="F94">
        <v>7</v>
      </c>
      <c r="G94">
        <v>7</v>
      </c>
      <c r="H94">
        <v>9.9999999999999995E-8</v>
      </c>
      <c r="I94" t="s">
        <v>8</v>
      </c>
      <c r="J94">
        <v>92.1</v>
      </c>
      <c r="K94">
        <v>253</v>
      </c>
      <c r="L94">
        <v>108.82105263157895</v>
      </c>
      <c r="M94">
        <f t="shared" si="2"/>
        <v>2.0367129225428244</v>
      </c>
      <c r="N94">
        <v>1.6601545625966985</v>
      </c>
      <c r="O94">
        <f t="shared" si="3"/>
        <v>1.8065976703289126</v>
      </c>
      <c r="P94">
        <v>0.68920000000000003</v>
      </c>
      <c r="Q94">
        <v>2.1932999999999998</v>
      </c>
      <c r="R94">
        <v>6.7</v>
      </c>
    </row>
    <row r="95" spans="1:18" x14ac:dyDescent="0.55000000000000004">
      <c r="A95">
        <v>254</v>
      </c>
      <c r="B95" t="s">
        <v>28</v>
      </c>
      <c r="C95" t="s">
        <v>33</v>
      </c>
      <c r="D95" t="s">
        <v>5</v>
      </c>
      <c r="E95">
        <v>10000000</v>
      </c>
      <c r="F95">
        <v>7</v>
      </c>
      <c r="G95">
        <v>7</v>
      </c>
      <c r="H95">
        <v>9.9999999999999995E-8</v>
      </c>
      <c r="I95" t="s">
        <v>8</v>
      </c>
      <c r="J95">
        <v>60.8</v>
      </c>
      <c r="K95">
        <v>254</v>
      </c>
      <c r="L95">
        <v>73.154422181744593</v>
      </c>
      <c r="M95">
        <f t="shared" si="2"/>
        <v>1.8642405843380285</v>
      </c>
      <c r="N95">
        <v>2.0534769539541915</v>
      </c>
      <c r="O95">
        <f t="shared" si="3"/>
        <v>1.5022092003004783</v>
      </c>
      <c r="P95">
        <v>0.59450000000000003</v>
      </c>
      <c r="Q95">
        <v>2.0190000000000001</v>
      </c>
      <c r="R95">
        <v>7.02</v>
      </c>
    </row>
    <row r="96" spans="1:18" x14ac:dyDescent="0.55000000000000004">
      <c r="A96">
        <v>255</v>
      </c>
      <c r="B96" t="s">
        <v>28</v>
      </c>
      <c r="C96" t="s">
        <v>33</v>
      </c>
      <c r="D96" t="s">
        <v>5</v>
      </c>
      <c r="E96">
        <v>10000000</v>
      </c>
      <c r="F96">
        <v>7</v>
      </c>
      <c r="G96">
        <v>7</v>
      </c>
      <c r="H96">
        <v>9.9999999999999995E-8</v>
      </c>
      <c r="I96" t="s">
        <v>8</v>
      </c>
      <c r="J96">
        <v>44.8</v>
      </c>
      <c r="K96">
        <v>255</v>
      </c>
      <c r="L96">
        <v>57.0243557352198</v>
      </c>
      <c r="M96">
        <f t="shared" si="2"/>
        <v>1.7560603872898608</v>
      </c>
      <c r="N96">
        <v>1.9525441702305653</v>
      </c>
      <c r="O96">
        <f t="shared" si="3"/>
        <v>1.1134257335195732</v>
      </c>
      <c r="P96">
        <v>0.50380000000000003</v>
      </c>
      <c r="Q96">
        <v>1.3838999999999999</v>
      </c>
      <c r="R96">
        <v>6.8</v>
      </c>
    </row>
    <row r="97" spans="1:18" x14ac:dyDescent="0.55000000000000004">
      <c r="A97">
        <v>256</v>
      </c>
      <c r="B97" t="s">
        <v>9</v>
      </c>
      <c r="C97" t="s">
        <v>33</v>
      </c>
      <c r="D97" t="s">
        <v>6</v>
      </c>
      <c r="E97">
        <v>10000000000</v>
      </c>
      <c r="F97">
        <v>10</v>
      </c>
      <c r="G97">
        <v>9</v>
      </c>
      <c r="H97">
        <v>0</v>
      </c>
      <c r="I97" t="s">
        <v>8</v>
      </c>
      <c r="J97">
        <v>62.7</v>
      </c>
      <c r="K97">
        <v>256</v>
      </c>
      <c r="L97">
        <v>77.49205750648126</v>
      </c>
      <c r="M97">
        <f t="shared" si="2"/>
        <v>1.8892571920821473</v>
      </c>
      <c r="N97">
        <v>1.7605237021540794</v>
      </c>
      <c r="O97">
        <f t="shared" si="3"/>
        <v>1.364266039688472</v>
      </c>
      <c r="P97">
        <v>0.52439999999999998</v>
      </c>
      <c r="Q97">
        <v>1.7755000000000001</v>
      </c>
      <c r="R97">
        <v>6.85</v>
      </c>
    </row>
    <row r="98" spans="1:18" x14ac:dyDescent="0.55000000000000004">
      <c r="A98">
        <v>257</v>
      </c>
      <c r="B98" t="s">
        <v>9</v>
      </c>
      <c r="C98" t="s">
        <v>33</v>
      </c>
      <c r="D98" t="s">
        <v>6</v>
      </c>
      <c r="E98">
        <v>10000000000</v>
      </c>
      <c r="F98">
        <v>10</v>
      </c>
      <c r="G98">
        <v>9</v>
      </c>
      <c r="H98">
        <v>0</v>
      </c>
      <c r="I98" t="s">
        <v>8</v>
      </c>
      <c r="J98">
        <v>77.100000000000009</v>
      </c>
      <c r="K98">
        <v>257</v>
      </c>
      <c r="L98">
        <v>91.361041199793149</v>
      </c>
      <c r="M98">
        <f t="shared" si="2"/>
        <v>1.9607610403845666</v>
      </c>
      <c r="N98">
        <v>1.69078569622319</v>
      </c>
      <c r="O98">
        <f t="shared" si="3"/>
        <v>1.5447194165266782</v>
      </c>
      <c r="P98">
        <v>0.68740000000000001</v>
      </c>
      <c r="Q98">
        <v>1.9177</v>
      </c>
      <c r="R98">
        <v>6.91</v>
      </c>
    </row>
    <row r="99" spans="1:18" x14ac:dyDescent="0.55000000000000004">
      <c r="A99">
        <v>258</v>
      </c>
      <c r="B99" t="s">
        <v>9</v>
      </c>
      <c r="C99" t="s">
        <v>33</v>
      </c>
      <c r="D99" t="s">
        <v>6</v>
      </c>
      <c r="E99">
        <v>10000000000</v>
      </c>
      <c r="F99">
        <v>10</v>
      </c>
      <c r="G99">
        <v>9</v>
      </c>
      <c r="H99">
        <v>0</v>
      </c>
      <c r="I99" t="s">
        <v>8</v>
      </c>
      <c r="J99">
        <v>61.199999999999996</v>
      </c>
      <c r="K99">
        <v>258</v>
      </c>
      <c r="L99">
        <v>75.661002588844426</v>
      </c>
      <c r="M99">
        <f t="shared" si="2"/>
        <v>1.8788720918591553</v>
      </c>
      <c r="N99">
        <v>2.331000875606053</v>
      </c>
      <c r="O99">
        <f t="shared" si="3"/>
        <v>1.7636586328382819</v>
      </c>
      <c r="P99">
        <v>0.52529999999999999</v>
      </c>
      <c r="Q99">
        <v>1.7043999999999999</v>
      </c>
      <c r="R99">
        <v>6.94</v>
      </c>
    </row>
    <row r="100" spans="1:18" x14ac:dyDescent="0.55000000000000004">
      <c r="A100">
        <v>259</v>
      </c>
      <c r="B100" t="s">
        <v>9</v>
      </c>
      <c r="C100" t="s">
        <v>33</v>
      </c>
      <c r="D100" t="s">
        <v>6</v>
      </c>
      <c r="E100">
        <v>10000000000</v>
      </c>
      <c r="F100">
        <v>10</v>
      </c>
      <c r="G100">
        <v>9</v>
      </c>
      <c r="H100">
        <v>0</v>
      </c>
      <c r="I100" t="s">
        <v>8</v>
      </c>
      <c r="J100">
        <v>66.600000000000009</v>
      </c>
      <c r="K100">
        <v>259</v>
      </c>
      <c r="L100">
        <v>81.404890945142114</v>
      </c>
      <c r="M100">
        <f t="shared" si="2"/>
        <v>1.9106504988286992</v>
      </c>
      <c r="N100">
        <v>1.5851015465253642</v>
      </c>
      <c r="O100">
        <f t="shared" si="3"/>
        <v>1.2903501853187338</v>
      </c>
      <c r="P100">
        <v>0.55479999999999996</v>
      </c>
      <c r="Q100">
        <v>1.4581999999999999</v>
      </c>
      <c r="R100">
        <v>6.9</v>
      </c>
    </row>
    <row r="101" spans="1:18" x14ac:dyDescent="0.55000000000000004">
      <c r="A101">
        <v>260</v>
      </c>
      <c r="B101" t="s">
        <v>9</v>
      </c>
      <c r="C101" t="s">
        <v>33</v>
      </c>
      <c r="D101" t="s">
        <v>6</v>
      </c>
      <c r="E101">
        <v>10000000000</v>
      </c>
      <c r="F101">
        <v>10</v>
      </c>
      <c r="G101">
        <v>9</v>
      </c>
      <c r="H101">
        <v>0</v>
      </c>
      <c r="I101" t="s">
        <v>8</v>
      </c>
      <c r="J101">
        <v>84.4</v>
      </c>
      <c r="K101">
        <v>260</v>
      </c>
      <c r="L101">
        <v>100.80014961660746</v>
      </c>
      <c r="M101">
        <f t="shared" si="2"/>
        <v>2.0034611767287407</v>
      </c>
      <c r="N101">
        <v>1.4696043080559582</v>
      </c>
      <c r="O101">
        <f t="shared" si="3"/>
        <v>1.4813633412925147</v>
      </c>
      <c r="P101">
        <v>0.63859999999999995</v>
      </c>
      <c r="Q101">
        <v>1.6846000000000001</v>
      </c>
      <c r="R101">
        <v>6.96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6a2630e2-1ac5-455e-8217-0156b1936a76}" enabled="1" method="Standard" siteId="{a3927f91-cda1-4696-af89-8c9f1ceffa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SUND - KU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Nikolaj Lunding Kindtler</dc:creator>
  <cp:lastModifiedBy>Nikolaj Lunding Kindtler</cp:lastModifiedBy>
  <dcterms:created xsi:type="dcterms:W3CDTF">2023-05-05T10:27:33Z</dcterms:created>
  <dcterms:modified xsi:type="dcterms:W3CDTF">2025-09-18T07:52:54Z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2630e2-1ac5-455e-8217-0156b1936a76_Enabled">
    <vt:lpwstr>true</vt:lpwstr>
  </property>
  <property fmtid="{D5CDD505-2E9C-101B-9397-08002B2CF9AE}" pid="3" name="MSIP_Label_6a2630e2-1ac5-455e-8217-0156b1936a76_SetDate">
    <vt:lpwstr>2023-05-05T10:27:34Z</vt:lpwstr>
  </property>
  <property fmtid="{D5CDD505-2E9C-101B-9397-08002B2CF9AE}" pid="4" name="MSIP_Label_6a2630e2-1ac5-455e-8217-0156b1936a76_Method">
    <vt:lpwstr>Standard</vt:lpwstr>
  </property>
  <property fmtid="{D5CDD505-2E9C-101B-9397-08002B2CF9AE}" pid="5" name="MSIP_Label_6a2630e2-1ac5-455e-8217-0156b1936a76_Name">
    <vt:lpwstr>Notclass</vt:lpwstr>
  </property>
  <property fmtid="{D5CDD505-2E9C-101B-9397-08002B2CF9AE}" pid="6" name="MSIP_Label_6a2630e2-1ac5-455e-8217-0156b1936a76_SiteId">
    <vt:lpwstr>a3927f91-cda1-4696-af89-8c9f1ceffa91</vt:lpwstr>
  </property>
  <property fmtid="{D5CDD505-2E9C-101B-9397-08002B2CF9AE}" pid="7" name="MSIP_Label_6a2630e2-1ac5-455e-8217-0156b1936a76_ActionId">
    <vt:lpwstr>19581c45-17f7-4b3b-8aab-77f01ef66f09</vt:lpwstr>
  </property>
  <property fmtid="{D5CDD505-2E9C-101B-9397-08002B2CF9AE}" pid="8" name="MSIP_Label_6a2630e2-1ac5-455e-8217-0156b1936a76_ContentBits">
    <vt:lpwstr>0</vt:lpwstr>
  </property>
</Properties>
</file>